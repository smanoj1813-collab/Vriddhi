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Calendar" sheetId="3" state="visible" r:id="rId3"/>
    <sheet name="Team &amp; Overheads" sheetId="4" state="visible" r:id="rId4"/>
    <sheet name="AI Costing" sheetId="5" state="visible" r:id="rId5"/>
    <sheet name="Usage Model" sheetId="6" state="visible" r:id="rId6"/>
    <sheet name="Monthly Plan" sheetId="7" state="visible" r:id="rId7"/>
    <sheet name="Annual Summary" sheetId="8" state="visible" r:id="rId8"/>
    <sheet name="Pricing &amp; P&amp;L" sheetId="9" state="visible" r:id="rId9"/>
    <sheet name="Sensitivity" sheetId="10" state="visible" r:id="rId10"/>
    <sheet name="Build Co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;[Red]-&quot;$&quot;#,##0.00"/>
    <numFmt numFmtId="165" formatCode="0.0%"/>
    <numFmt numFmtId="166" formatCode="#,##0.0"/>
    <numFmt numFmtId="167" formatCode="&quot;₹&quot;#,##0;[Red]-&quot;₹&quot;#,##0"/>
    <numFmt numFmtId="168" formatCode="&quot;$&quot;0.00000"/>
    <numFmt numFmtId="169" formatCode="&quot;₹&quot;#,##0.00;[Red]-&quot;₹&quot;#,##0.00"/>
    <numFmt numFmtId="170" formatCode="0.00&quot; L&quot;"/>
    <numFmt numFmtId="171" formatCode="0.00&quot; Cr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</font>
    <font/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0" borderId="1" pivotButton="0" quotePrefix="0" xfId="0"/>
    <xf numFmtId="3" fontId="0" fillId="2" borderId="1" pivotButton="0" quotePrefix="0" xfId="0"/>
    <xf numFmtId="3" fontId="0" fillId="3" borderId="1" pivotButton="0" quotePrefix="0" xfId="0"/>
    <xf numFmtId="4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4" fontId="0" fillId="3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3" fillId="3" borderId="1" pivotButton="0" quotePrefix="0" xfId="0"/>
    <xf numFmtId="165" fontId="3" fillId="3" borderId="1" pivotButton="0" quotePrefix="0" xfId="0"/>
    <xf numFmtId="167" fontId="0" fillId="2" borderId="1" pivotButton="0" quotePrefix="0" xfId="0"/>
    <xf numFmtId="167" fontId="0" fillId="3" borderId="1" pivotButton="0" quotePrefix="0" xfId="0"/>
    <xf numFmtId="167" fontId="3" fillId="4" borderId="1" pivotButton="0" quotePrefix="0" xfId="0"/>
    <xf numFmtId="167" fontId="0" fillId="4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4" fontId="0" fillId="3" borderId="1" pivotButton="0" quotePrefix="0" xfId="0"/>
    <xf numFmtId="167" fontId="3" fillId="3" borderId="1" pivotButton="0" quotePrefix="0" xfId="0"/>
    <xf numFmtId="0" fontId="3" fillId="0" borderId="1" pivotButton="0" quotePrefix="0" xfId="0"/>
    <xf numFmtId="3" fontId="3" fillId="3" borderId="1" pivotButton="0" quotePrefix="0" xfId="0"/>
    <xf numFmtId="3" fontId="3" fillId="4" borderId="1" pivotButton="0" quotePrefix="0" xfId="0"/>
    <xf numFmtId="165" fontId="0" fillId="3" borderId="1" pivotButton="0" quotePrefix="0" xfId="0"/>
    <xf numFmtId="166" fontId="0" fillId="3" borderId="1" pivotButton="0" quotePrefix="0" xfId="0"/>
    <xf numFmtId="3" fontId="0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170" fontId="0" fillId="3" borderId="1" pivotButton="0" quotePrefix="0" xfId="0"/>
    <xf numFmtId="170" fontId="3" fillId="3" borderId="1" pivotButton="0" quotePrefix="0" xfId="0"/>
    <xf numFmtId="169" fontId="3" fillId="3" borderId="1" pivotButton="0" quotePrefix="0" xfId="0"/>
    <xf numFmtId="3" fontId="0" fillId="0" borderId="0" pivotButton="0" quotePrefix="0" xfId="0"/>
    <xf numFmtId="165" fontId="3" fillId="4" borderId="1" pivotButton="0" quotePrefix="0" xfId="0"/>
    <xf numFmtId="0" fontId="3" fillId="2" borderId="1" pivotButton="0" quotePrefix="0" xfId="0"/>
    <xf numFmtId="171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Vriddhi — Costing, Pricing &amp; P&amp;L Workbook</t>
        </is>
      </c>
    </row>
    <row r="2">
      <c r="A2" s="2" t="inlineStr">
        <is>
          <t>Built 25 Sep 2026 from the Vriddhi codebase. All figures are estimates until validated against a real Firebase invoice.</t>
        </is>
      </c>
    </row>
    <row r="4">
      <c r="A4" s="3" t="inlineStr">
        <is>
          <t>How to use</t>
        </is>
      </c>
      <c r="B4" s="4" t="inlineStr"/>
    </row>
    <row r="5">
      <c r="A5" s="5" t="inlineStr">
        <is>
          <t>1</t>
        </is>
      </c>
      <c r="B5" s="4" t="inlineStr">
        <is>
          <t>Fill the yellow cells on the Inputs sheet (college size, unit prices, per-role usage, events). Grey cells are formulas — do not overwrite.</t>
        </is>
      </c>
    </row>
    <row r="6">
      <c r="A6" s="5" t="inlineStr">
        <is>
          <t>2</t>
        </is>
      </c>
      <c r="B6" s="4" t="inlineStr">
        <is>
          <t>Adjust the academic Calendar (days per month by type, fee/admission timing, AI weights).</t>
        </is>
      </c>
    </row>
    <row r="7">
      <c r="A7" s="5" t="inlineStr">
        <is>
          <t>3</t>
        </is>
      </c>
      <c r="B7" s="4" t="inlineStr">
        <is>
          <t>Enter your team on 'Team &amp; Overheads' (5 × ₹30,000 is pre-filled), overheads, onboarding out-of-pocket, and how many colleges share the team.</t>
        </is>
      </c>
    </row>
    <row r="8">
      <c r="A8" s="5" t="inlineStr">
        <is>
          <t>4</t>
        </is>
      </c>
      <c r="B8" s="4" t="inlineStr">
        <is>
          <t>Review 'AI Costing' — change models (dropdown), calls per year, tokens per call and the safety buffer.</t>
        </is>
      </c>
    </row>
    <row r="9">
      <c r="A9" s="5" t="inlineStr">
        <is>
          <t>5</t>
        </is>
      </c>
      <c r="B9" s="4" t="inlineStr">
        <is>
          <t>'Usage Model' shows reads/writes per role per day type and the monthly grid with the Blaze free quota applied PER DAY.</t>
        </is>
      </c>
    </row>
    <row r="10">
      <c r="A10" s="5" t="inlineStr">
        <is>
          <t>6</t>
        </is>
      </c>
      <c r="B10" s="4" t="inlineStr">
        <is>
          <t>'Monthly Plan' and 'Annual Summary' give the 12-month cash plan and per-student / per-user cost.</t>
        </is>
      </c>
    </row>
    <row r="11">
      <c r="A11" s="5" t="inlineStr">
        <is>
          <t>7</t>
        </is>
      </c>
      <c r="B11" s="4" t="inlineStr">
        <is>
          <t>Set your price on 'Pricing &amp; P&amp;L' to see revenue, gross profit, margin, break-even and a 3-year P&amp;L. 'Sensitivity' shows margin by price × colleges.</t>
        </is>
      </c>
    </row>
    <row r="12">
      <c r="A12" s="5" t="inlineStr">
        <is>
          <t>8</t>
        </is>
      </c>
      <c r="B12" s="4" t="inlineStr">
        <is>
          <t>'Build Cost' estimates what it costs to build a product like this (for investor / 'why not build it ourselves' conversations).</t>
        </is>
      </c>
    </row>
    <row r="13">
      <c r="A13" s="3" t="inlineStr"/>
      <c r="B13" s="4" t="inlineStr"/>
    </row>
    <row r="14">
      <c r="A14" s="3" t="inlineStr">
        <is>
          <t>Colour legend</t>
        </is>
      </c>
      <c r="B14" s="4" t="inlineStr"/>
    </row>
    <row r="15">
      <c r="A15" s="6" t="inlineStr">
        <is>
          <t>Yellow</t>
        </is>
      </c>
      <c r="B15" s="4" t="inlineStr">
        <is>
          <t>Input — edit freely</t>
        </is>
      </c>
    </row>
    <row r="16">
      <c r="A16" s="7" t="inlineStr">
        <is>
          <t>Grey</t>
        </is>
      </c>
      <c r="B16" s="4" t="inlineStr">
        <is>
          <t>Formula — recalculates automatically</t>
        </is>
      </c>
    </row>
    <row r="17">
      <c r="A17" s="8" t="inlineStr">
        <is>
          <t>Green</t>
        </is>
      </c>
      <c r="B17" s="4" t="inlineStr">
        <is>
          <t>Key output</t>
        </is>
      </c>
    </row>
    <row r="18">
      <c r="A18" s="3" t="inlineStr"/>
      <c r="B18" s="4" t="inlineStr"/>
    </row>
    <row r="19">
      <c r="A19" s="5" t="inlineStr">
        <is>
          <t>Blaze plan reminder</t>
        </is>
      </c>
      <c r="B19" s="4" t="inlineStr">
        <is>
          <t>Firestore gives 50,000 reads and 20,000 writes free PER DAY (resets daily, no roll-over), then $0.06 / 100K reads and $0.18 / 100K writes. A 5,000-student college uses ~3.4M reads on a teaching day, so the quota covers ~1.5% — you pay from day one, but the unit prices are tiny.</t>
        </is>
      </c>
    </row>
    <row r="20">
      <c r="A20" s="5" t="inlineStr">
        <is>
          <t>GST</t>
        </is>
      </c>
      <c r="B20" s="4" t="inlineStr">
        <is>
          <t>Cloud prices are ex-GST. Google Cloud India adds 18% GST; set 'GST recoverable' = 1 on Inputs if you claim input credit, else 0 to treat it as a cost. Your invoice to the college carries 18% GST on top of the prices here.</t>
        </is>
      </c>
    </row>
    <row r="21">
      <c r="A21" s="5" t="inlineStr">
        <is>
          <t>Reconciliation</t>
        </is>
      </c>
      <c r="B21" s="4" t="inlineStr">
        <is>
          <t>With the default inputs the sheet reproduces docs/COSTING_PLAN_1YEAR_5000_STUDENTS.md: cloud ₹52,266, AI ₹1,16,020, team ₹18,00,000. The only difference is overheads: the report used a flat ₹15,000 'tools' line; the sheet itemises ₹39,660 (Workspace, domain, ₹30,000 travel), so break-even is ₹402 instead of ₹397 per student.</t>
        </is>
      </c>
    </row>
    <row r="22">
      <c r="A22" s="5" t="inlineStr">
        <is>
          <t>Source</t>
        </is>
      </c>
      <c r="B22" s="4" t="inlineStr">
        <is>
          <t>scripts/firebase-yearly-cost-plan.mjs and docs/COSTING_PLAN_1YEAR_5000_STUDENTS.md in the Vriddhi repository. Regenerate this workbook with: python3 scripts/build-costing-sheet.py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6" customWidth="1" min="3" max="3"/>
    <col width="18" customWidth="1" min="4" max="4"/>
    <col width="90" customWidth="1" min="5" max="5"/>
  </cols>
  <sheetData>
    <row r="1">
      <c r="A1" s="1" t="inlineStr">
        <is>
          <t>Inputs — every assumption in one place</t>
        </is>
      </c>
    </row>
    <row r="2">
      <c r="A2" s="2" t="inlineStr">
        <is>
          <t>Yellow = edit. Grey = derived. Units in column D, source/notes in column E.</t>
        </is>
      </c>
    </row>
    <row r="5">
      <c r="B5" s="9" t="inlineStr">
        <is>
          <t>1. College &amp; users</t>
        </is>
      </c>
      <c r="C5" s="10" t="n"/>
      <c r="D5" s="10" t="n"/>
      <c r="E5" s="10" t="n"/>
    </row>
    <row r="6">
      <c r="B6" s="11" t="inlineStr">
        <is>
          <t>Students</t>
        </is>
      </c>
      <c r="C6" s="12" t="n">
        <v>5000</v>
      </c>
      <c r="D6" s="11" t="inlineStr">
        <is>
          <t>people</t>
        </is>
      </c>
      <c r="E6" s="2" t="inlineStr">
        <is>
          <t>the billing unit</t>
        </is>
      </c>
    </row>
    <row r="7">
      <c r="B7" s="11" t="inlineStr">
        <is>
          <t>Faculty (teaching staff, incl. HODs &amp; mentors)</t>
        </is>
      </c>
      <c r="C7" s="13">
        <f>ROUND(Inputs!$C$6/25,0)</f>
        <v/>
      </c>
      <c r="D7" s="11" t="inlineStr">
        <is>
          <t>people</t>
        </is>
      </c>
      <c r="E7" s="2" t="inlineStr">
        <is>
          <t>default 1:25; overwrite with the real number</t>
        </is>
      </c>
    </row>
    <row r="8">
      <c r="B8" s="11" t="inlineStr">
        <is>
          <t>HODs (extra department pages on top of faculty)</t>
        </is>
      </c>
      <c r="C8" s="12" t="n">
        <v>15</v>
      </c>
      <c r="D8" s="11" t="inlineStr">
        <is>
          <t>people</t>
        </is>
      </c>
      <c r="E8" s="2" t="inlineStr"/>
    </row>
    <row r="9">
      <c r="B9" s="11" t="inlineStr">
        <is>
          <t>Mentors (extra mentee pages on top of faculty)</t>
        </is>
      </c>
      <c r="C9" s="12" t="n">
        <v>40</v>
      </c>
      <c r="D9" s="11" t="inlineStr">
        <is>
          <t>people</t>
        </is>
      </c>
      <c r="E9" s="2" t="inlineStr"/>
    </row>
    <row r="10">
      <c r="B10" s="11" t="inlineStr">
        <is>
          <t>Principal / college admin / exam cell users</t>
        </is>
      </c>
      <c r="C10" s="12" t="n">
        <v>5</v>
      </c>
      <c r="D10" s="11" t="inlineStr">
        <is>
          <t>people</t>
        </is>
      </c>
      <c r="E10" s="2" t="inlineStr"/>
    </row>
    <row r="11">
      <c r="B11" s="11" t="inlineStr">
        <is>
          <t>Accounts team users</t>
        </is>
      </c>
      <c r="C11" s="12" t="n">
        <v>5</v>
      </c>
      <c r="D11" s="11" t="inlineStr">
        <is>
          <t>people</t>
        </is>
      </c>
      <c r="E11" s="2" t="inlineStr">
        <is>
          <t>fee management, challans, collections, finance reports, vendor bills</t>
        </is>
      </c>
    </row>
    <row r="12">
      <c r="B12" s="11" t="inlineStr">
        <is>
          <t>Operations team users (office, library, inventory, procurement, admissions)</t>
        </is>
      </c>
      <c r="C12" s="12" t="n">
        <v>8</v>
      </c>
      <c r="D12" s="11" t="inlineStr">
        <is>
          <t>people</t>
        </is>
      </c>
      <c r="E12" s="2" t="inlineStr"/>
    </row>
    <row r="13">
      <c r="B13" s="11" t="inlineStr">
        <is>
          <t>Superadmin users (your team)</t>
        </is>
      </c>
      <c r="C13" s="12" t="n">
        <v>2</v>
      </c>
      <c r="D13" s="11" t="inlineStr">
        <is>
          <t>people</t>
        </is>
      </c>
      <c r="E13" s="2" t="inlineStr"/>
    </row>
    <row r="14">
      <c r="B14" s="11" t="inlineStr">
        <is>
          <t>Total accounts (students + college staff)</t>
        </is>
      </c>
      <c r="C14" s="13">
        <f>Inputs!$C$6+Inputs!$C$7+Inputs!$C$10+Inputs!$C$11+Inputs!$C$12</f>
        <v/>
      </c>
      <c r="D14" s="11" t="inlineStr">
        <is>
          <t>people</t>
        </is>
      </c>
      <c r="E14" s="2" t="inlineStr"/>
    </row>
    <row r="15">
      <c r="B15" s="11" t="inlineStr">
        <is>
          <t>Students per section</t>
        </is>
      </c>
      <c r="C15" s="12" t="n">
        <v>60</v>
      </c>
      <c r="D15" s="11" t="inlineStr">
        <is>
          <t>people</t>
        </is>
      </c>
      <c r="E15" s="2" t="inlineStr"/>
    </row>
    <row r="16">
      <c r="B16" s="11" t="inlineStr">
        <is>
          <t>Sections</t>
        </is>
      </c>
      <c r="C16" s="13">
        <f>ROUNDUP(Inputs!$C$6/Inputs!$C$15,0)</f>
        <v/>
      </c>
      <c r="D16" s="11" t="inlineStr"/>
      <c r="E16" s="2" t="inlineStr"/>
    </row>
    <row r="17">
      <c r="B17" s="11" t="inlineStr">
        <is>
          <t>Periods per day with attendance</t>
        </is>
      </c>
      <c r="C17" s="12" t="n">
        <v>5</v>
      </c>
      <c r="D17" s="11" t="inlineStr"/>
      <c r="E17" s="2" t="inlineStr"/>
    </row>
    <row r="18">
      <c r="B18" s="11" t="inlineStr">
        <is>
          <t>Attendance sessions per teaching day</t>
        </is>
      </c>
      <c r="C18" s="13">
        <f>Inputs!$C$16*Inputs!$C$17</f>
        <v/>
      </c>
      <c r="D18" s="11" t="inlineStr"/>
      <c r="E18" s="2" t="inlineStr">
        <is>
          <t>each session = 1 write per student + 3 docs</t>
        </is>
      </c>
    </row>
    <row r="19">
      <c r="B19" s="11" t="inlineStr">
        <is>
          <t>Final-year students (placement prep, no-dues)</t>
        </is>
      </c>
      <c r="C19" s="13">
        <f>ROUND(Inputs!$C$6/3,0)</f>
        <v/>
      </c>
      <c r="D19" s="11" t="inlineStr"/>
      <c r="E19" s="2" t="inlineStr"/>
    </row>
    <row r="20">
      <c r="B20" s="11" t="inlineStr">
        <is>
          <t>New admissions per year</t>
        </is>
      </c>
      <c r="C20" s="13">
        <f>ROUND(Inputs!$C$6*0.3,0)</f>
        <v/>
      </c>
      <c r="D20" s="11" t="inlineStr"/>
      <c r="E20" s="2" t="inlineStr"/>
    </row>
    <row r="22">
      <c r="B22" s="9" t="inlineStr">
        <is>
          <t>2. Currency &amp; Firebase Blaze unit prices (Sept 2026 list prices, asia-south1)</t>
        </is>
      </c>
      <c r="C22" s="10" t="n"/>
      <c r="D22" s="10" t="n"/>
      <c r="E22" s="10" t="n"/>
    </row>
    <row r="23">
      <c r="B23" s="11" t="inlineStr">
        <is>
          <t>Exchange rate</t>
        </is>
      </c>
      <c r="C23" s="14" t="n">
        <v>96</v>
      </c>
      <c r="D23" s="11" t="inlineStr">
        <is>
          <t>₹ per USD</t>
        </is>
      </c>
      <c r="E23" s="2" t="inlineStr"/>
    </row>
    <row r="24">
      <c r="B24" s="11" t="inlineStr">
        <is>
          <t>Firestore document reads</t>
        </is>
      </c>
      <c r="C24" s="15" t="n">
        <v>0.06</v>
      </c>
      <c r="D24" s="11" t="inlineStr">
        <is>
          <t>$ per 100,000</t>
        </is>
      </c>
      <c r="E24" s="2" t="inlineStr">
        <is>
          <t>free 50,000 per day on Blaze (default database only)</t>
        </is>
      </c>
    </row>
    <row r="25">
      <c r="B25" s="11" t="inlineStr">
        <is>
          <t>Firestore document writes</t>
        </is>
      </c>
      <c r="C25" s="15" t="n">
        <v>0.18</v>
      </c>
      <c r="D25" s="11" t="inlineStr">
        <is>
          <t>$ per 100,000</t>
        </is>
      </c>
      <c r="E25" s="2" t="inlineStr">
        <is>
          <t>free 20,000 per day</t>
        </is>
      </c>
    </row>
    <row r="26">
      <c r="B26" s="11" t="inlineStr">
        <is>
          <t>Free reads per day</t>
        </is>
      </c>
      <c r="C26" s="12" t="n">
        <v>50000</v>
      </c>
      <c r="D26" s="11" t="inlineStr"/>
      <c r="E26" s="2" t="inlineStr">
        <is>
          <t>resets at midnight US-Pacific; unused quota does not roll over</t>
        </is>
      </c>
    </row>
    <row r="27">
      <c r="B27" s="11" t="inlineStr">
        <is>
          <t>Free writes per day</t>
        </is>
      </c>
      <c r="C27" s="12" t="n">
        <v>20000</v>
      </c>
      <c r="D27" s="11" t="inlineStr"/>
      <c r="E27" s="2" t="inlineStr"/>
    </row>
    <row r="28">
      <c r="B28" s="11" t="inlineStr">
        <is>
          <t>Firestore stored data</t>
        </is>
      </c>
      <c r="C28" s="15" t="n">
        <v>0.18</v>
      </c>
      <c r="D28" s="11" t="inlineStr">
        <is>
          <t>$ per GiB-month</t>
        </is>
      </c>
      <c r="E28" s="2" t="inlineStr"/>
    </row>
    <row r="29">
      <c r="B29" s="11" t="inlineStr">
        <is>
          <t>Firestore free storage</t>
        </is>
      </c>
      <c r="C29" s="12" t="n">
        <v>1</v>
      </c>
      <c r="D29" s="11" t="inlineStr">
        <is>
          <t>GiB</t>
        </is>
      </c>
      <c r="E29" s="2" t="inlineStr"/>
    </row>
    <row r="30">
      <c r="B30" s="11" t="inlineStr">
        <is>
          <t>Cloud Storage (files) stored</t>
        </is>
      </c>
      <c r="C30" s="15" t="n">
        <v>0.026</v>
      </c>
      <c r="D30" s="11" t="inlineStr">
        <is>
          <t>$ per GB-month</t>
        </is>
      </c>
      <c r="E30" s="2" t="inlineStr"/>
    </row>
    <row r="31">
      <c r="B31" s="11" t="inlineStr">
        <is>
          <t>Cloud Storage free storage</t>
        </is>
      </c>
      <c r="C31" s="12" t="n">
        <v>5</v>
      </c>
      <c r="D31" s="11" t="inlineStr">
        <is>
          <t>GB</t>
        </is>
      </c>
      <c r="E31" s="2" t="inlineStr"/>
    </row>
    <row r="32">
      <c r="B32" s="11" t="inlineStr">
        <is>
          <t>Cloud Storage downloads</t>
        </is>
      </c>
      <c r="C32" s="15" t="n">
        <v>0.12</v>
      </c>
      <c r="D32" s="11" t="inlineStr">
        <is>
          <t>$ per GB</t>
        </is>
      </c>
      <c r="E32" s="2" t="inlineStr"/>
    </row>
    <row r="33">
      <c r="B33" s="11" t="inlineStr">
        <is>
          <t>Cloud Storage free downloads</t>
        </is>
      </c>
      <c r="C33" s="12" t="n">
        <v>30</v>
      </c>
      <c r="D33" s="11" t="inlineStr">
        <is>
          <t>GB per month</t>
        </is>
      </c>
      <c r="E33" s="2" t="inlineStr">
        <is>
          <t>1 GB per day</t>
        </is>
      </c>
    </row>
    <row r="34">
      <c r="B34" s="11" t="inlineStr">
        <is>
          <t>Firebase Hosting transfer</t>
        </is>
      </c>
      <c r="C34" s="15" t="n">
        <v>0.15</v>
      </c>
      <c r="D34" s="11" t="inlineStr">
        <is>
          <t>$ per GB</t>
        </is>
      </c>
      <c r="E34" s="2" t="inlineStr"/>
    </row>
    <row r="35">
      <c r="B35" s="11" t="inlineStr">
        <is>
          <t>Hosting free transfer</t>
        </is>
      </c>
      <c r="C35" s="12" t="n">
        <v>10.8</v>
      </c>
      <c r="D35" s="11" t="inlineStr">
        <is>
          <t>GB per month</t>
        </is>
      </c>
      <c r="E35" s="2" t="inlineStr">
        <is>
          <t>360 MB per day</t>
        </is>
      </c>
    </row>
    <row r="36">
      <c r="B36" s="11" t="inlineStr">
        <is>
          <t>Cloud Functions</t>
        </is>
      </c>
      <c r="C36" s="15" t="n">
        <v>0</v>
      </c>
      <c r="D36" s="11" t="inlineStr">
        <is>
          <t>$ per month</t>
        </is>
      </c>
      <c r="E36" s="2" t="inlineStr">
        <is>
          <t>2.3M invocations/yr and all compute sit inside the free tier (2M invocations, 180K vCPU-s, 360K GiB-s per month); set &gt;0 if you add minInstances</t>
        </is>
      </c>
    </row>
    <row r="37">
      <c r="B37" s="11" t="inlineStr">
        <is>
          <t>Fixed monthly items (Artifact Registry, Secret Manager, Realtime DB)</t>
        </is>
      </c>
      <c r="C37" s="15" t="n">
        <v>1.7</v>
      </c>
      <c r="D37" s="11" t="inlineStr">
        <is>
          <t>$ per month</t>
        </is>
      </c>
      <c r="E37" s="2" t="inlineStr"/>
    </row>
    <row r="38">
      <c r="B38" s="11" t="inlineStr">
        <is>
          <t>GST on Google Cloud bill</t>
        </is>
      </c>
      <c r="C38" s="16" t="n">
        <v>0.18</v>
      </c>
      <c r="D38" s="11" t="inlineStr"/>
      <c r="E38" s="2" t="inlineStr"/>
    </row>
    <row r="39">
      <c r="B39" s="11" t="inlineStr">
        <is>
          <t>GST recoverable as input credit? (1 = yes, 0 = treat as cost)</t>
        </is>
      </c>
      <c r="C39" s="12" t="n">
        <v>1</v>
      </c>
      <c r="D39" s="11" t="inlineStr"/>
      <c r="E39" s="2" t="inlineStr"/>
    </row>
    <row r="41">
      <c r="B41" s="9" t="inlineStr">
        <is>
          <t>3. Student usage (per ACTIVE student per day) — from src/modules/student</t>
        </is>
      </c>
      <c r="C41" s="10" t="n"/>
      <c r="D41" s="10" t="n"/>
      <c r="E41" s="10" t="n"/>
    </row>
    <row r="42">
      <c r="B42" s="11" t="inlineStr">
        <is>
          <t>Active share on teaching days</t>
        </is>
      </c>
      <c r="C42" s="16" t="n">
        <v>0.6</v>
      </c>
      <c r="D42" s="11" t="inlineStr"/>
      <c r="E42" s="2" t="inlineStr"/>
    </row>
    <row r="43">
      <c r="B43" s="11" t="inlineStr">
        <is>
          <t>Active share on internal-assessment (online test) days</t>
        </is>
      </c>
      <c r="C43" s="16" t="n">
        <v>0.9</v>
      </c>
      <c r="D43" s="11" t="inlineStr"/>
      <c r="E43" s="2" t="inlineStr"/>
    </row>
    <row r="44">
      <c r="B44" s="11" t="inlineStr">
        <is>
          <t>Active share on university exam days</t>
        </is>
      </c>
      <c r="C44" s="16" t="n">
        <v>0.4</v>
      </c>
      <c r="D44" s="11" t="inlineStr"/>
      <c r="E44" s="2" t="inlineStr"/>
    </row>
    <row r="45">
      <c r="B45" s="11" t="inlineStr">
        <is>
          <t>Active share on result days</t>
        </is>
      </c>
      <c r="C45" s="16" t="n">
        <v>0.8</v>
      </c>
      <c r="D45" s="11" t="inlineStr"/>
      <c r="E45" s="2" t="inlineStr"/>
    </row>
    <row r="46">
      <c r="B46" s="11" t="inlineStr">
        <is>
          <t>Active share on weekends / holidays / office-only days</t>
        </is>
      </c>
      <c r="C46" s="16" t="n">
        <v>0.12</v>
      </c>
      <c r="D46" s="11" t="inlineStr"/>
      <c r="E46" s="2" t="inlineStr"/>
    </row>
    <row r="47">
      <c r="B47" s="11" t="inlineStr">
        <is>
          <t>Dashboard loads per active day — teaching &amp; IA days</t>
        </is>
      </c>
      <c r="C47" s="17" t="n">
        <v>1.5</v>
      </c>
      <c r="D47" s="11" t="inlineStr"/>
      <c r="E47" s="2" t="inlineStr"/>
    </row>
    <row r="48">
      <c r="B48" s="11" t="inlineStr">
        <is>
          <t>Dashboard loads per active day — other days</t>
        </is>
      </c>
      <c r="C48" s="17" t="n">
        <v>1</v>
      </c>
      <c r="D48" s="11" t="inlineStr"/>
      <c r="E48" s="2" t="inlineStr"/>
    </row>
    <row r="49">
      <c r="B49" s="11" t="inlineStr">
        <is>
          <t>Dashboard reads per load EXCLUDING attendance</t>
        </is>
      </c>
      <c r="C49" s="12" t="n">
        <v>100</v>
      </c>
      <c r="D49" s="11" t="inlineStr"/>
      <c r="E49" s="2" t="inlineStr">
        <is>
          <t>profile 2 + assignments 15 + fees 8 + timetable 35 + notifications 20 + tests callable 15 (useStudentData.ts)</t>
        </is>
      </c>
    </row>
    <row r="50">
      <c r="B50" s="11" t="inlineStr">
        <is>
          <t>attendanceRecords read per dashboard load (steady state)</t>
        </is>
      </c>
      <c r="C50" s="12" t="n">
        <v>500</v>
      </c>
      <c r="D50" s="11" t="inlineStr"/>
      <c r="E50" s="2" t="inlineStr">
        <is>
          <t>fetchAttendance limit(500), no semester filter, no cache. Set to 1 after moving to a per-student aggregate doc</t>
        </is>
      </c>
    </row>
    <row r="51">
      <c r="B51" s="11" t="inlineStr">
        <is>
          <t>Other page reads per active day — teaching &amp; IA days</t>
        </is>
      </c>
      <c r="C51" s="12" t="n">
        <v>120</v>
      </c>
      <c r="D51" s="11" t="inlineStr"/>
      <c r="E51" s="2" t="inlineStr">
        <is>
          <t>timetable / materials / fees / assignments pages</t>
        </is>
      </c>
    </row>
    <row r="52">
      <c r="B52" s="11" t="inlineStr">
        <is>
          <t>Other page reads — university exam days</t>
        </is>
      </c>
      <c r="C52" s="12" t="n">
        <v>60</v>
      </c>
      <c r="D52" s="11" t="inlineStr"/>
      <c r="E52" s="2" t="inlineStr"/>
    </row>
    <row r="53">
      <c r="B53" s="11" t="inlineStr">
        <is>
          <t>Other page reads — result / office-only / off days</t>
        </is>
      </c>
      <c r="C53" s="12" t="n">
        <v>20</v>
      </c>
      <c r="D53" s="11" t="inlineStr"/>
      <c r="E53" s="2" t="inlineStr"/>
    </row>
    <row r="54">
      <c r="B54" s="11" t="inlineStr">
        <is>
          <t>Writes per active day — teaching &amp; IA days</t>
        </is>
      </c>
      <c r="C54" s="12" t="n">
        <v>3</v>
      </c>
      <c r="D54" s="11" t="inlineStr"/>
      <c r="E54" s="2" t="inlineStr"/>
    </row>
    <row r="55">
      <c r="B55" s="11" t="inlineStr">
        <is>
          <t>Writes per active day — other days</t>
        </is>
      </c>
      <c r="C55" s="12" t="n">
        <v>1</v>
      </c>
      <c r="D55" s="11" t="inlineStr"/>
      <c r="E55" s="2" t="inlineStr"/>
    </row>
    <row r="56">
      <c r="B56" s="11" t="inlineStr">
        <is>
          <t>Cloud Function calls per dashboard load</t>
        </is>
      </c>
      <c r="C56" s="12" t="n">
        <v>1</v>
      </c>
      <c r="D56" s="11" t="inlineStr"/>
      <c r="E56" s="2" t="inlineStr">
        <is>
          <t>getMyStudentTests callable</t>
        </is>
      </c>
    </row>
    <row r="58">
      <c r="B58" s="9" t="inlineStr">
        <is>
          <t>4. Staff usage (per ACTIVE user per day) — from src/modules/faculty, admin, office</t>
        </is>
      </c>
      <c r="C58" s="10" t="n"/>
      <c r="D58" s="10" t="n"/>
      <c r="E58" s="10" t="n"/>
    </row>
    <row r="59">
      <c r="B59" s="11" t="inlineStr">
        <is>
          <t>Faculty active share — teaching &amp; IA days</t>
        </is>
      </c>
      <c r="C59" s="16" t="n">
        <v>0.85</v>
      </c>
      <c r="D59" s="11" t="inlineStr"/>
      <c r="E59" s="2" t="inlineStr"/>
    </row>
    <row r="60">
      <c r="B60" s="11" t="inlineStr">
        <is>
          <t>Faculty active share — university exam days</t>
        </is>
      </c>
      <c r="C60" s="16" t="n">
        <v>0.3</v>
      </c>
      <c r="D60" s="11" t="inlineStr"/>
      <c r="E60" s="2" t="inlineStr"/>
    </row>
    <row r="61">
      <c r="B61" s="11" t="inlineStr">
        <is>
          <t>Faculty active share — other days</t>
        </is>
      </c>
      <c r="C61" s="16" t="n">
        <v>0.25</v>
      </c>
      <c r="D61" s="11" t="inlineStr"/>
      <c r="E61" s="2" t="inlineStr"/>
    </row>
    <row r="62">
      <c r="B62" s="11" t="inlineStr">
        <is>
          <t>Faculty reads — teaching day (dashboard 230 + QB/papers/assignments 150)</t>
        </is>
      </c>
      <c r="C62" s="12" t="n">
        <v>380</v>
      </c>
      <c r="D62" s="11" t="inlineStr"/>
      <c r="E62" s="2" t="inlineStr"/>
    </row>
    <row r="63">
      <c r="B63" s="11" t="inlineStr">
        <is>
          <t>Faculty writes — teaching day (excluding attendance marking)</t>
        </is>
      </c>
      <c r="C63" s="12" t="n">
        <v>15</v>
      </c>
      <c r="D63" s="11" t="inlineStr"/>
      <c r="E63" s="2" t="inlineStr"/>
    </row>
    <row r="64">
      <c r="B64" s="11" t="inlineStr">
        <is>
          <t>Faculty extra reads on IA days (grading / review)</t>
        </is>
      </c>
      <c r="C64" s="12" t="n">
        <v>100</v>
      </c>
      <c r="D64" s="11" t="inlineStr"/>
      <c r="E64" s="2" t="inlineStr"/>
    </row>
    <row r="65">
      <c r="B65" s="11" t="inlineStr">
        <is>
          <t>Faculty extra writes on IA days</t>
        </is>
      </c>
      <c r="C65" s="12" t="n">
        <v>20</v>
      </c>
      <c r="D65" s="11" t="inlineStr"/>
      <c r="E65" s="2" t="inlineStr"/>
    </row>
    <row r="66">
      <c r="B66" s="11" t="inlineStr">
        <is>
          <t>Faculty reads — university exam day</t>
        </is>
      </c>
      <c r="C66" s="12" t="n">
        <v>150</v>
      </c>
      <c r="D66" s="11" t="inlineStr"/>
      <c r="E66" s="2" t="inlineStr"/>
    </row>
    <row r="67">
      <c r="B67" s="11" t="inlineStr">
        <is>
          <t>Faculty writes — university exam day</t>
        </is>
      </c>
      <c r="C67" s="12" t="n">
        <v>5</v>
      </c>
      <c r="D67" s="11" t="inlineStr"/>
      <c r="E67" s="2" t="inlineStr"/>
    </row>
    <row r="68">
      <c r="B68" s="11" t="inlineStr">
        <is>
          <t>Faculty reads — other days</t>
        </is>
      </c>
      <c r="C68" s="12" t="n">
        <v>100</v>
      </c>
      <c r="D68" s="11" t="inlineStr"/>
      <c r="E68" s="2" t="inlineStr"/>
    </row>
    <row r="69">
      <c r="B69" s="11" t="inlineStr">
        <is>
          <t>Faculty writes — other days</t>
        </is>
      </c>
      <c r="C69" s="12" t="n">
        <v>3</v>
      </c>
      <c r="D69" s="11" t="inlineStr"/>
      <c r="E69" s="2" t="inlineStr"/>
    </row>
    <row r="70">
      <c r="B70" s="11" t="inlineStr">
        <is>
          <t>HOD extra reads per day (department analytics, 500-cap queries)</t>
        </is>
      </c>
      <c r="C70" s="12" t="n">
        <v>600</v>
      </c>
      <c r="D70" s="11" t="inlineStr"/>
      <c r="E70" s="2" t="inlineStr"/>
    </row>
    <row r="71">
      <c r="B71" s="11" t="inlineStr">
        <is>
          <t>HOD extra writes per day</t>
        </is>
      </c>
      <c r="C71" s="12" t="n">
        <v>10</v>
      </c>
      <c r="D71" s="11" t="inlineStr"/>
      <c r="E71" s="2" t="inlineStr"/>
    </row>
    <row r="72">
      <c r="B72" s="11" t="inlineStr">
        <is>
          <t>Mentor extra reads per day</t>
        </is>
      </c>
      <c r="C72" s="12" t="n">
        <v>80</v>
      </c>
      <c r="D72" s="11" t="inlineStr"/>
      <c r="E72" s="2" t="inlineStr"/>
    </row>
    <row r="73">
      <c r="B73" s="11" t="inlineStr">
        <is>
          <t>Mentor extra writes per day</t>
        </is>
      </c>
      <c r="C73" s="12" t="n">
        <v>2</v>
      </c>
      <c r="D73" s="11" t="inlineStr"/>
      <c r="E73" s="2" t="inlineStr"/>
    </row>
    <row r="74">
      <c r="B74" s="11" t="inlineStr">
        <is>
          <t>Attendance marking — reads per session (roster 60 + session + prior)</t>
        </is>
      </c>
      <c r="C74" s="12" t="n">
        <v>70</v>
      </c>
      <c r="D74" s="11" t="inlineStr"/>
      <c r="E74" s="2" t="inlineStr"/>
    </row>
    <row r="75">
      <c r="B75" s="11" t="inlineStr">
        <is>
          <t>Attendance marking — writes per session (60 attendanceRecords + attendance + summary + session)</t>
        </is>
      </c>
      <c r="C75" s="12" t="n">
        <v>63</v>
      </c>
      <c r="D75" s="11" t="inlineStr"/>
      <c r="E75" s="2" t="inlineStr">
        <is>
          <t>facultyApi.ts saveAttendance</t>
        </is>
      </c>
    </row>
    <row r="76">
      <c r="B76" s="11" t="inlineStr">
        <is>
          <t>Share of periods held on IA days</t>
        </is>
      </c>
      <c r="C76" s="16" t="n">
        <v>0.6</v>
      </c>
      <c r="D76" s="11" t="inlineStr"/>
      <c r="E76" s="2" t="inlineStr"/>
    </row>
    <row r="77">
      <c r="B77" s="11" t="inlineStr">
        <is>
          <t>Admin / principal / exam cell reads per day</t>
        </is>
      </c>
      <c r="C77" s="12" t="n">
        <v>6000</v>
      </c>
      <c r="D77" s="11" t="inlineStr"/>
      <c r="E77" s="2" t="inlineStr">
        <is>
          <t>dashboardApi.ts: 4 × limit(500) per dashboard load + analytics</t>
        </is>
      </c>
    </row>
    <row r="78">
      <c r="B78" s="11" t="inlineStr">
        <is>
          <t>Admin writes per day</t>
        </is>
      </c>
      <c r="C78" s="12" t="n">
        <v>100</v>
      </c>
      <c r="D78" s="11" t="inlineStr"/>
      <c r="E78" s="2" t="inlineStr"/>
    </row>
    <row r="79">
      <c r="B79" s="11" t="inlineStr">
        <is>
          <t>Accounts reads per day</t>
        </is>
      </c>
      <c r="C79" s="12" t="n">
        <v>4000</v>
      </c>
      <c r="D79" s="11" t="inlineStr"/>
      <c r="E79" s="2" t="inlineStr">
        <is>
          <t>feeApi.ts fee page = feeStructures 500 + students 500 + feePayments 500 per load; AccountsDesk ≈ 1,200</t>
        </is>
      </c>
    </row>
    <row r="80">
      <c r="B80" s="11" t="inlineStr">
        <is>
          <t>Accounts writes per day (excluding collections &amp; challan bursts)</t>
        </is>
      </c>
      <c r="C80" s="12" t="n">
        <v>40</v>
      </c>
      <c r="D80" s="11" t="inlineStr"/>
      <c r="E80" s="2" t="inlineStr"/>
    </row>
    <row r="81">
      <c r="B81" s="11" t="inlineStr">
        <is>
          <t>Operations reads per day</t>
        </is>
      </c>
      <c r="C81" s="12" t="n">
        <v>8000</v>
      </c>
      <c r="D81" s="11" t="inlineStr"/>
      <c r="E81" s="2" t="inlineStr">
        <is>
          <t>OperationsDesk lists ≤ 2,000 each, libraryTitles ≤ 20,000, libraryVisits ≤ 50,000, assets ≤ 50,000</t>
        </is>
      </c>
    </row>
    <row r="82">
      <c r="B82" s="11" t="inlineStr">
        <is>
          <t>Operations writes per day (excluding library loans/visits, admissions, no-dues)</t>
        </is>
      </c>
      <c r="C82" s="12" t="n">
        <v>150</v>
      </c>
      <c r="D82" s="11" t="inlineStr"/>
      <c r="E82" s="2" t="inlineStr"/>
    </row>
    <row r="83">
      <c r="B83" s="11" t="inlineStr">
        <is>
          <t>Superadmin reads per day per open dashboard tab</t>
        </is>
      </c>
      <c r="C83" s="12" t="n">
        <v>81000</v>
      </c>
      <c r="D83" s="11" t="inlineStr"/>
      <c r="E83" s="2" t="inlineStr">
        <is>
          <t>useSuperAdmin.ts polls 7 queries every 60–120 s ≈ 225 reads/min × 6 h; ~8,000 after fix</t>
        </is>
      </c>
    </row>
    <row r="84">
      <c r="B84" s="11" t="inlineStr">
        <is>
          <t>Superadmin writes per day per user</t>
        </is>
      </c>
      <c r="C84" s="12" t="n">
        <v>20</v>
      </c>
      <c r="D84" s="11" t="inlineStr"/>
      <c r="E84" s="2" t="inlineStr"/>
    </row>
    <row r="85">
      <c r="B85" s="11" t="inlineStr">
        <is>
          <t>Average superadmin tabs open during working hours</t>
        </is>
      </c>
      <c r="C85" s="17" t="n">
        <v>1</v>
      </c>
      <c r="D85" s="11" t="inlineStr"/>
      <c r="E85" s="2" t="inlineStr"/>
    </row>
    <row r="86">
      <c r="B86" s="11" t="inlineStr">
        <is>
          <t>Staff activity on weekends/holidays (share of a working day)</t>
        </is>
      </c>
      <c r="C86" s="16" t="n">
        <v>0.05</v>
      </c>
      <c r="D86" s="11" t="inlineStr"/>
      <c r="E86" s="2" t="inlineStr"/>
    </row>
    <row r="88">
      <c r="B88" s="9" t="inlineStr">
        <is>
          <t>5. Events (per year unless stated) — assessments, fees, library, admissions, documents</t>
        </is>
      </c>
      <c r="C88" s="10" t="n"/>
      <c r="D88" s="10" t="n"/>
      <c r="E88" s="10" t="n"/>
    </row>
    <row r="89">
      <c r="B89" s="11" t="inlineStr">
        <is>
          <t>Online tests per student per year</t>
        </is>
      </c>
      <c r="C89" s="12" t="n">
        <v>20</v>
      </c>
      <c r="D89" s="11" t="inlineStr"/>
      <c r="E89" s="2" t="inlineStr"/>
    </row>
    <row r="90">
      <c r="B90" s="11" t="inlineStr">
        <is>
          <t>Reads per test attempt (post-optimisation, incl. grading &amp; publish)</t>
        </is>
      </c>
      <c r="C90" s="12" t="n">
        <v>155</v>
      </c>
      <c r="D90" s="11" t="inlineStr"/>
      <c r="E90" s="2" t="inlineStr">
        <is>
          <t>docs/HANDOFF_exam_autosave_cost.md</t>
        </is>
      </c>
    </row>
    <row r="91">
      <c r="B91" s="11" t="inlineStr">
        <is>
          <t>Writes per test attempt</t>
        </is>
      </c>
      <c r="C91" s="12" t="n">
        <v>24</v>
      </c>
      <c r="D91" s="11" t="inlineStr"/>
      <c r="E91" s="2" t="inlineStr"/>
    </row>
    <row r="92">
      <c r="B92" s="11" t="inlineStr">
        <is>
          <t>Function invocations per test attempt</t>
        </is>
      </c>
      <c r="C92" s="12" t="n">
        <v>12</v>
      </c>
      <c r="D92" s="11" t="inlineStr"/>
      <c r="E92" s="2" t="inlineStr"/>
    </row>
    <row r="93">
      <c r="B93" s="11" t="inlineStr">
        <is>
          <t>Assignments per student per year</t>
        </is>
      </c>
      <c r="C93" s="12" t="n">
        <v>8</v>
      </c>
      <c r="D93" s="11" t="inlineStr"/>
      <c r="E93" s="2" t="inlineStr"/>
    </row>
    <row r="94">
      <c r="B94" s="11" t="inlineStr">
        <is>
          <t>Reads per submission (incl. faculty grading)</t>
        </is>
      </c>
      <c r="C94" s="12" t="n">
        <v>35</v>
      </c>
      <c r="D94" s="11" t="inlineStr"/>
      <c r="E94" s="2" t="inlineStr"/>
    </row>
    <row r="95">
      <c r="B95" s="11" t="inlineStr">
        <is>
          <t>Writes per submission</t>
        </is>
      </c>
      <c r="C95" s="12" t="n">
        <v>7</v>
      </c>
      <c r="D95" s="11" t="inlineStr"/>
      <c r="E95" s="2" t="inlineStr"/>
    </row>
    <row r="96">
      <c r="B96" s="11" t="inlineStr">
        <is>
          <t>Function invocations per submission</t>
        </is>
      </c>
      <c r="C96" s="12" t="n">
        <v>3</v>
      </c>
      <c r="D96" s="11" t="inlineStr"/>
      <c r="E96" s="2" t="inlineStr"/>
    </row>
    <row r="97">
      <c r="B97" s="11" t="inlineStr">
        <is>
          <t>Average submission file size</t>
        </is>
      </c>
      <c r="C97" s="17" t="n">
        <v>1.5</v>
      </c>
      <c r="D97" s="11" t="inlineStr">
        <is>
          <t>MB</t>
        </is>
      </c>
      <c r="E97" s="2" t="inlineStr"/>
    </row>
    <row r="98">
      <c r="B98" s="11" t="inlineStr">
        <is>
          <t>Fee collections per year</t>
        </is>
      </c>
      <c r="C98" s="13">
        <f>Inputs!$C$6*4</f>
        <v/>
      </c>
      <c r="D98" s="11" t="inlineStr"/>
      <c r="E98" s="2" t="inlineStr">
        <is>
          <t>4 instalments per student</t>
        </is>
      </c>
    </row>
    <row r="99">
      <c r="B99" s="11" t="inlineStr">
        <is>
          <t>Reads per collection</t>
        </is>
      </c>
      <c r="C99" s="12" t="n">
        <v>2</v>
      </c>
      <c r="D99" s="11" t="inlineStr"/>
      <c r="E99" s="2" t="inlineStr"/>
    </row>
    <row r="100">
      <c r="B100" s="11" t="inlineStr">
        <is>
          <t>Writes per collection (payment + transaction + receipt/challan)</t>
        </is>
      </c>
      <c r="C100" s="12" t="n">
        <v>3</v>
      </c>
      <c r="D100" s="11" t="inlineStr"/>
      <c r="E100" s="2" t="inlineStr"/>
    </row>
    <row r="101">
      <c r="B101" s="11" t="inlineStr">
        <is>
          <t>Writes per challan generated (challan + feePayment + link)</t>
        </is>
      </c>
      <c r="C101" s="12" t="n">
        <v>3</v>
      </c>
      <c r="D101" s="11" t="inlineStr"/>
      <c r="E101" s="2" t="inlineStr"/>
    </row>
    <row r="102">
      <c r="B102" s="11" t="inlineStr">
        <is>
          <t>Library loans per student per year</t>
        </is>
      </c>
      <c r="C102" s="12" t="n">
        <v>10</v>
      </c>
      <c r="D102" s="11" t="inlineStr"/>
      <c r="E102" s="2" t="inlineStr"/>
    </row>
    <row r="103">
      <c r="B103" s="11" t="inlineStr">
        <is>
          <t>Reads per loan cycle (issue + return)</t>
        </is>
      </c>
      <c r="C103" s="12" t="n">
        <v>6</v>
      </c>
      <c r="D103" s="11" t="inlineStr"/>
      <c r="E103" s="2" t="inlineStr"/>
    </row>
    <row r="104">
      <c r="B104" s="11" t="inlineStr">
        <is>
          <t>Writes per loan cycle</t>
        </is>
      </c>
      <c r="C104" s="12" t="n">
        <v>4</v>
      </c>
      <c r="D104" s="11" t="inlineStr"/>
      <c r="E104" s="2" t="inlineStr"/>
    </row>
    <row r="105">
      <c r="B105" s="11" t="inlineStr">
        <is>
          <t>Library gate visits per student per year (1 write each)</t>
        </is>
      </c>
      <c r="C105" s="12" t="n">
        <v>40</v>
      </c>
      <c r="D105" s="11" t="inlineStr"/>
      <c r="E105" s="2" t="inlineStr"/>
    </row>
    <row r="106">
      <c r="B106" s="11" t="inlineStr">
        <is>
          <t>Library member syncs per year (reads = students each)</t>
        </is>
      </c>
      <c r="C106" s="12" t="n">
        <v>52</v>
      </c>
      <c r="D106" s="11" t="inlineStr"/>
      <c r="E106" s="2" t="inlineStr"/>
    </row>
    <row r="107">
      <c r="B107" s="11" t="inlineStr">
        <is>
          <t>Library visit reports per year</t>
        </is>
      </c>
      <c r="C107" s="12" t="n">
        <v>24</v>
      </c>
      <c r="D107" s="11" t="inlineStr"/>
      <c r="E107" s="2" t="inlineStr"/>
    </row>
    <row r="108">
      <c r="B108" s="11" t="inlineStr">
        <is>
          <t>Reads per visit report</t>
        </is>
      </c>
      <c r="C108" s="13">
        <f>MIN(50000,Inputs!$C$6*4)</f>
        <v/>
      </c>
      <c r="D108" s="11" t="inlineStr"/>
      <c r="E108" s="2" t="inlineStr"/>
    </row>
    <row r="109">
      <c r="B109" s="11" t="inlineStr">
        <is>
          <t>Reads per admission</t>
        </is>
      </c>
      <c r="C109" s="12" t="n">
        <v>10</v>
      </c>
      <c r="D109" s="11" t="inlineStr"/>
      <c r="E109" s="2" t="inlineStr"/>
    </row>
    <row r="110">
      <c r="B110" s="11" t="inlineStr">
        <is>
          <t>Writes per admission (plus 1 provisioning write)</t>
        </is>
      </c>
      <c r="C110" s="12" t="n">
        <v>6</v>
      </c>
      <c r="D110" s="11" t="inlineStr"/>
      <c r="E110" s="2" t="inlineStr"/>
    </row>
    <row r="111">
      <c r="B111" s="11" t="inlineStr">
        <is>
          <t>No-dues sign-offs per final-year student</t>
        </is>
      </c>
      <c r="C111" s="12" t="n">
        <v>6</v>
      </c>
      <c r="D111" s="11" t="inlineStr"/>
      <c r="E111" s="2" t="inlineStr"/>
    </row>
    <row r="112">
      <c r="B112" s="11" t="inlineStr">
        <is>
          <t>Reads for no-dues processing (May)</t>
        </is>
      </c>
      <c r="C112" s="12" t="n">
        <v>100000</v>
      </c>
      <c r="D112" s="11" t="inlineStr"/>
      <c r="E112" s="2" t="inlineStr"/>
    </row>
    <row r="113">
      <c r="B113" s="11" t="inlineStr">
        <is>
          <t>Writes per timetable generation</t>
        </is>
      </c>
      <c r="C113" s="13">
        <f>Inputs!$C$16*30</f>
        <v/>
      </c>
      <c r="D113" s="11" t="inlineStr"/>
      <c r="E113" s="2" t="inlineStr"/>
    </row>
    <row r="114">
      <c r="B114" s="11" t="inlineStr">
        <is>
          <t>Study-material files uploaded per faculty per year</t>
        </is>
      </c>
      <c r="C114" s="12" t="n">
        <v>20</v>
      </c>
      <c r="D114" s="11" t="inlineStr"/>
      <c r="E114" s="2" t="inlineStr"/>
    </row>
    <row r="115">
      <c r="B115" s="11" t="inlineStr">
        <is>
          <t>Average material file size</t>
        </is>
      </c>
      <c r="C115" s="17" t="n">
        <v>5</v>
      </c>
      <c r="D115" s="11" t="inlineStr">
        <is>
          <t>MB</t>
        </is>
      </c>
      <c r="E115" s="2" t="inlineStr"/>
    </row>
    <row r="116">
      <c r="B116" s="11" t="inlineStr">
        <is>
          <t>Material downloads per student per year</t>
        </is>
      </c>
      <c r="C116" s="12" t="n">
        <v>30</v>
      </c>
      <c r="D116" s="11" t="inlineStr"/>
      <c r="E116" s="2" t="inlineStr"/>
    </row>
    <row r="117">
      <c r="B117" s="11" t="inlineStr">
        <is>
          <t>Challan / hall-ticket PDF size</t>
        </is>
      </c>
      <c r="C117" s="12" t="n">
        <v>150</v>
      </c>
      <c r="D117" s="11" t="inlineStr">
        <is>
          <t>KB</t>
        </is>
      </c>
      <c r="E117" s="2" t="inlineStr"/>
    </row>
    <row r="118">
      <c r="B118" s="11" t="inlineStr">
        <is>
          <t>attendanceRecords document size incl. indexes</t>
        </is>
      </c>
      <c r="C118" s="17" t="n">
        <v>1.2</v>
      </c>
      <c r="D118" s="11" t="inlineStr">
        <is>
          <t>KB</t>
        </is>
      </c>
      <c r="E118" s="2" t="inlineStr"/>
    </row>
    <row r="119">
      <c r="B119" s="11" t="inlineStr">
        <is>
          <t>Test attempt document size</t>
        </is>
      </c>
      <c r="C119" s="12" t="n">
        <v>15</v>
      </c>
      <c r="D119" s="11" t="inlineStr">
        <is>
          <t>KB</t>
        </is>
      </c>
      <c r="E119" s="2" t="inlineStr"/>
    </row>
    <row r="120">
      <c r="B120" s="11" t="inlineStr">
        <is>
          <t>Web app bundle size</t>
        </is>
      </c>
      <c r="C120" s="17" t="n">
        <v>3</v>
      </c>
      <c r="D120" s="11" t="inlineStr">
        <is>
          <t>MB</t>
        </is>
      </c>
      <c r="E120" s="2" t="inlineStr"/>
    </row>
    <row r="121">
      <c r="B121" s="11" t="inlineStr">
        <is>
          <t>Deploys per month (cache-busting)</t>
        </is>
      </c>
      <c r="C121" s="12" t="n">
        <v>2</v>
      </c>
      <c r="D121" s="11" t="inlineStr"/>
      <c r="E121" s="2" t="inlineStr"/>
    </row>
    <row r="122">
      <c r="B122" s="11" t="inlineStr">
        <is>
          <t>Daily hosting delta per active user</t>
        </is>
      </c>
      <c r="C122" s="12" t="n">
        <v>50</v>
      </c>
      <c r="D122" s="11" t="inlineStr">
        <is>
          <t>KB</t>
        </is>
      </c>
      <c r="E122" s="2" t="inlineStr"/>
    </row>
    <row r="123">
      <c r="B123" s="11" t="inlineStr">
        <is>
          <t>Average daily-active share of students for hosting traffic (whole year incl. holidays)</t>
        </is>
      </c>
      <c r="C123" s="16" t="n">
        <v>0.4</v>
      </c>
      <c r="D123" s="11" t="inlineStr"/>
      <c r="E123" s="2" t="inlineStr"/>
    </row>
    <row r="124">
      <c r="B124" s="11" t="inlineStr">
        <is>
          <t>Firestore data at start of year</t>
        </is>
      </c>
      <c r="C124" s="14" t="n">
        <v>0.5</v>
      </c>
      <c r="D124" s="11" t="inlineStr">
        <is>
          <t>GiB</t>
        </is>
      </c>
      <c r="E124" s="2" t="inlineStr"/>
    </row>
    <row r="125">
      <c r="B125" s="11" t="inlineStr">
        <is>
          <t>Files in Cloud Storage at start of year</t>
        </is>
      </c>
      <c r="C125" s="14" t="n">
        <v>2</v>
      </c>
      <c r="D125" s="11" t="inlineStr">
        <is>
          <t>GB</t>
        </is>
      </c>
      <c r="E125" s="2" t="inlineStr"/>
    </row>
    <row r="126">
      <c r="B126" s="11" t="inlineStr">
        <is>
          <t>Materials uploaded (GB, front-loaded)</t>
        </is>
      </c>
      <c r="C126" s="18">
        <f>Inputs!$C$7*Inputs!$C$114*Inputs!$C$115/1024</f>
        <v/>
      </c>
      <c r="D126" s="11" t="inlineStr">
        <is>
          <t>GB</t>
        </is>
      </c>
      <c r="E126" s="2" t="inlineStr"/>
    </row>
    <row r="128">
      <c r="B128" s="9" t="inlineStr">
        <is>
          <t>6. Pricing &amp; margin targets</t>
        </is>
      </c>
      <c r="C128" s="10" t="n"/>
      <c r="D128" s="10" t="n"/>
      <c r="E128" s="10" t="n"/>
    </row>
    <row r="129">
      <c r="B129" s="11" t="inlineStr">
        <is>
          <t>Target gross margin — low</t>
        </is>
      </c>
      <c r="C129" s="16" t="n">
        <v>0.3</v>
      </c>
      <c r="D129" s="11" t="inlineStr"/>
      <c r="E129" s="2" t="inlineStr"/>
    </row>
    <row r="130">
      <c r="B130" s="11" t="inlineStr">
        <is>
          <t>Target gross margin — mid</t>
        </is>
      </c>
      <c r="C130" s="16" t="n">
        <v>0.35</v>
      </c>
      <c r="D130" s="11" t="inlineStr"/>
      <c r="E130" s="2" t="inlineStr"/>
    </row>
    <row r="131">
      <c r="B131" s="11" t="inlineStr">
        <is>
          <t>Target gross margin — high</t>
        </is>
      </c>
      <c r="C131" s="16" t="n">
        <v>0.4</v>
      </c>
      <c r="D131" s="11" t="inlineStr"/>
      <c r="E131" s="2" t="inlineStr"/>
    </row>
    <row r="132">
      <c r="B132" s="11" t="inlineStr">
        <is>
          <t>Contingency added to costs before pricing</t>
        </is>
      </c>
      <c r="C132" s="16" t="n">
        <v>0.1</v>
      </c>
      <c r="D132" s="11" t="inlineStr"/>
      <c r="E132" s="2" t="inlineStr">
        <is>
          <t>covers AI overrun, GST slippage, extra 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0" customWidth="1" min="16" max="16"/>
    <col width="9" customWidth="1" min="17" max="17"/>
    <col width="10" customWidth="1" min="18" max="18"/>
  </cols>
  <sheetData>
    <row r="1">
      <c r="A1" s="1" t="inlineStr">
        <is>
          <t>Academic calendar — days per month by type (Aug → Jul, Karnataka degree college)</t>
        </is>
      </c>
    </row>
    <row r="2">
      <c r="A2" s="2" t="inlineStr">
        <is>
          <t>Teach = classes with attendance · IA = internal-assessment / online-test days (classes continue) · Uni = university exam days · Result = result publication · Office = office working days with no classes (admissions, vacation) · Off = weekends &amp; holidays. Shares: fee collections / admissions per month must each total 100%. AI weight distributes the annual AI budget.</t>
        </is>
      </c>
    </row>
    <row r="3">
      <c r="A3" s="19" t="inlineStr">
        <is>
          <t>Month</t>
        </is>
      </c>
      <c r="B3" s="19" t="inlineStr">
        <is>
          <t>Teach</t>
        </is>
      </c>
      <c r="C3" s="19" t="inlineStr">
        <is>
          <t>IA</t>
        </is>
      </c>
      <c r="D3" s="19" t="inlineStr">
        <is>
          <t>Uni</t>
        </is>
      </c>
      <c r="E3" s="19" t="inlineStr">
        <is>
          <t>Result</t>
        </is>
      </c>
      <c r="F3" s="19" t="inlineStr">
        <is>
          <t>Office</t>
        </is>
      </c>
      <c r="G3" s="19" t="inlineStr">
        <is>
          <t>Off</t>
        </is>
      </c>
      <c r="H3" s="19" t="inlineStr">
        <is>
          <t>Working days</t>
        </is>
      </c>
      <c r="I3" s="19" t="inlineStr">
        <is>
          <t>Total days</t>
        </is>
      </c>
      <c r="J3" s="19" t="inlineStr">
        <is>
          <t>Attendance ramp</t>
        </is>
      </c>
      <c r="K3" s="19" t="inlineStr">
        <is>
          <t>Fee share</t>
        </is>
      </c>
      <c r="L3" s="19" t="inlineStr">
        <is>
          <t>Admission share</t>
        </is>
      </c>
      <c r="M3" s="19" t="inlineStr">
        <is>
          <t>Challan burst</t>
        </is>
      </c>
      <c r="N3" s="19" t="inlineStr">
        <is>
          <t>Semester rollover</t>
        </is>
      </c>
      <c r="O3" s="19" t="inlineStr">
        <is>
          <t>Timetable gen</t>
        </is>
      </c>
      <c r="P3" s="19" t="inlineStr">
        <is>
          <t>Hall tickets</t>
        </is>
      </c>
      <c r="Q3" s="19" t="inlineStr">
        <is>
          <t>No-dues</t>
        </is>
      </c>
      <c r="R3" s="19" t="inlineStr">
        <is>
          <t>AI weight</t>
        </is>
      </c>
    </row>
    <row r="4">
      <c r="A4" s="11" t="inlineStr">
        <is>
          <t>Aug 2026</t>
        </is>
      </c>
      <c r="B4" s="20" t="n">
        <v>20</v>
      </c>
      <c r="C4" s="20" t="n">
        <v>0</v>
      </c>
      <c r="D4" s="20" t="n">
        <v>0</v>
      </c>
      <c r="E4" s="20" t="n">
        <v>0</v>
      </c>
      <c r="F4" s="20" t="n">
        <v>2</v>
      </c>
      <c r="G4" s="20" t="n">
        <v>9</v>
      </c>
      <c r="H4" s="21">
        <f>B4+C4+D4+E4+F4</f>
        <v/>
      </c>
      <c r="I4" s="21">
        <f>H4+G4</f>
        <v/>
      </c>
      <c r="J4" s="14" t="n">
        <v>0.1</v>
      </c>
      <c r="K4" s="16" t="n">
        <v>0.3</v>
      </c>
      <c r="L4" s="16" t="n">
        <v>0.15</v>
      </c>
      <c r="M4" s="20" t="n">
        <v>1</v>
      </c>
      <c r="N4" s="20" t="n">
        <v>1</v>
      </c>
      <c r="O4" s="20" t="n">
        <v>1</v>
      </c>
      <c r="P4" s="20" t="n">
        <v>0</v>
      </c>
      <c r="Q4" s="20" t="n">
        <v>0</v>
      </c>
      <c r="R4" s="16" t="n">
        <v>0.04</v>
      </c>
    </row>
    <row r="5">
      <c r="A5" s="11" t="inlineStr">
        <is>
          <t>Sep 2026</t>
        </is>
      </c>
      <c r="B5" s="20" t="n">
        <v>22</v>
      </c>
      <c r="C5" s="20" t="n">
        <v>0</v>
      </c>
      <c r="D5" s="20" t="n">
        <v>0</v>
      </c>
      <c r="E5" s="20" t="n">
        <v>0</v>
      </c>
      <c r="F5" s="20" t="n">
        <v>0</v>
      </c>
      <c r="G5" s="20" t="n">
        <v>8</v>
      </c>
      <c r="H5" s="21">
        <f>B5+C5+D5+E5+F5</f>
        <v/>
      </c>
      <c r="I5" s="21">
        <f>H5+G5</f>
        <v/>
      </c>
      <c r="J5" s="14" t="n">
        <v>0.35</v>
      </c>
      <c r="K5" s="16" t="n">
        <v>0.15</v>
      </c>
      <c r="L5" s="16" t="n">
        <v>0.05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16" t="n">
        <v>0.08</v>
      </c>
    </row>
    <row r="6">
      <c r="A6" s="11" t="inlineStr">
        <is>
          <t>Oct 2026</t>
        </is>
      </c>
      <c r="B6" s="20" t="n">
        <v>15</v>
      </c>
      <c r="C6" s="20" t="n">
        <v>6</v>
      </c>
      <c r="D6" s="20" t="n">
        <v>0</v>
      </c>
      <c r="E6" s="20" t="n">
        <v>0</v>
      </c>
      <c r="F6" s="20" t="n">
        <v>0</v>
      </c>
      <c r="G6" s="20" t="n">
        <v>10</v>
      </c>
      <c r="H6" s="21">
        <f>B6+C6+D6+E6+F6</f>
        <v/>
      </c>
      <c r="I6" s="21">
        <f>H6+G6</f>
        <v/>
      </c>
      <c r="J6" s="14" t="n">
        <v>0.6</v>
      </c>
      <c r="K6" s="16" t="n">
        <v>0.05</v>
      </c>
      <c r="L6" s="16" t="n">
        <v>0</v>
      </c>
      <c r="M6" s="20" t="n">
        <v>1</v>
      </c>
      <c r="N6" s="20" t="n">
        <v>0</v>
      </c>
      <c r="O6" s="20" t="n">
        <v>0</v>
      </c>
      <c r="P6" s="20" t="n">
        <v>0</v>
      </c>
      <c r="Q6" s="20" t="n">
        <v>0</v>
      </c>
      <c r="R6" s="16" t="n">
        <v>0.12</v>
      </c>
    </row>
    <row r="7">
      <c r="A7" s="11" t="inlineStr">
        <is>
          <t>Nov 2026</t>
        </is>
      </c>
      <c r="B7" s="20" t="n">
        <v>16</v>
      </c>
      <c r="C7" s="20" t="n">
        <v>6</v>
      </c>
      <c r="D7" s="20" t="n">
        <v>0</v>
      </c>
      <c r="E7" s="20" t="n">
        <v>0</v>
      </c>
      <c r="F7" s="20" t="n">
        <v>0</v>
      </c>
      <c r="G7" s="20" t="n">
        <v>8</v>
      </c>
      <c r="H7" s="21">
        <f>B7+C7+D7+E7+F7</f>
        <v/>
      </c>
      <c r="I7" s="21">
        <f>H7+G7</f>
        <v/>
      </c>
      <c r="J7" s="14" t="n">
        <v>0.85</v>
      </c>
      <c r="K7" s="16" t="n">
        <v>0.02</v>
      </c>
      <c r="L7" s="16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16" t="n">
        <v>0.14</v>
      </c>
    </row>
    <row r="8">
      <c r="A8" s="11" t="inlineStr">
        <is>
          <t>Dec 2026</t>
        </is>
      </c>
      <c r="B8" s="20" t="n">
        <v>10</v>
      </c>
      <c r="C8" s="20" t="n">
        <v>0</v>
      </c>
      <c r="D8" s="20" t="n">
        <v>8</v>
      </c>
      <c r="E8" s="20" t="n">
        <v>0</v>
      </c>
      <c r="F8" s="20" t="n">
        <v>4</v>
      </c>
      <c r="G8" s="20" t="n">
        <v>9</v>
      </c>
      <c r="H8" s="21">
        <f>B8+C8+D8+E8+F8</f>
        <v/>
      </c>
      <c r="I8" s="21">
        <f>H8+G8</f>
        <v/>
      </c>
      <c r="J8" s="14" t="n">
        <v>1</v>
      </c>
      <c r="K8" s="16" t="n">
        <v>0.02</v>
      </c>
      <c r="L8" s="16" t="n">
        <v>0</v>
      </c>
      <c r="M8" s="20" t="n">
        <v>0</v>
      </c>
      <c r="N8" s="20" t="n">
        <v>0</v>
      </c>
      <c r="O8" s="20" t="n">
        <v>0</v>
      </c>
      <c r="P8" s="20" t="n">
        <v>1</v>
      </c>
      <c r="Q8" s="20" t="n">
        <v>0</v>
      </c>
      <c r="R8" s="16" t="n">
        <v>0.1</v>
      </c>
    </row>
    <row r="9">
      <c r="A9" s="11" t="inlineStr">
        <is>
          <t>Jan 2027</t>
        </is>
      </c>
      <c r="B9" s="20" t="n">
        <v>8</v>
      </c>
      <c r="C9" s="20" t="n">
        <v>0</v>
      </c>
      <c r="D9" s="20" t="n">
        <v>9</v>
      </c>
      <c r="E9" s="20" t="n">
        <v>0</v>
      </c>
      <c r="F9" s="20" t="n">
        <v>3</v>
      </c>
      <c r="G9" s="20" t="n">
        <v>11</v>
      </c>
      <c r="H9" s="21">
        <f>B9+C9+D9+E9+F9</f>
        <v/>
      </c>
      <c r="I9" s="21">
        <f>H9+G9</f>
        <v/>
      </c>
      <c r="J9" s="14" t="n">
        <v>1</v>
      </c>
      <c r="K9" s="16" t="n">
        <v>0.25</v>
      </c>
      <c r="L9" s="16" t="n">
        <v>0</v>
      </c>
      <c r="M9" s="20" t="n">
        <v>1</v>
      </c>
      <c r="N9" s="20" t="n">
        <v>1</v>
      </c>
      <c r="O9" s="20" t="n">
        <v>1</v>
      </c>
      <c r="P9" s="20" t="n">
        <v>0</v>
      </c>
      <c r="Q9" s="20" t="n">
        <v>0</v>
      </c>
      <c r="R9" s="16" t="n">
        <v>0.05</v>
      </c>
    </row>
    <row r="10">
      <c r="A10" s="11" t="inlineStr">
        <is>
          <t>Feb 2027</t>
        </is>
      </c>
      <c r="B10" s="20" t="n">
        <v>21</v>
      </c>
      <c r="C10" s="20" t="n">
        <v>0</v>
      </c>
      <c r="D10" s="20" t="n">
        <v>0</v>
      </c>
      <c r="E10" s="20" t="n">
        <v>1</v>
      </c>
      <c r="F10" s="20" t="n">
        <v>0</v>
      </c>
      <c r="G10" s="20" t="n">
        <v>6</v>
      </c>
      <c r="H10" s="21">
        <f>B10+C10+D10+E10+F10</f>
        <v/>
      </c>
      <c r="I10" s="21">
        <f>H10+G10</f>
        <v/>
      </c>
      <c r="J10" s="14" t="n">
        <v>1</v>
      </c>
      <c r="K10" s="16" t="n">
        <v>0.15</v>
      </c>
      <c r="L10" s="16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16" t="n">
        <v>0.07000000000000001</v>
      </c>
    </row>
    <row r="11">
      <c r="A11" s="11" t="inlineStr">
        <is>
          <t>Mar 2027</t>
        </is>
      </c>
      <c r="B11" s="20" t="n">
        <v>15</v>
      </c>
      <c r="C11" s="20" t="n">
        <v>6</v>
      </c>
      <c r="D11" s="20" t="n">
        <v>0</v>
      </c>
      <c r="E11" s="20" t="n">
        <v>0</v>
      </c>
      <c r="F11" s="20" t="n">
        <v>0</v>
      </c>
      <c r="G11" s="20" t="n">
        <v>10</v>
      </c>
      <c r="H11" s="21">
        <f>B11+C11+D11+E11+F11</f>
        <v/>
      </c>
      <c r="I11" s="21">
        <f>H11+G11</f>
        <v/>
      </c>
      <c r="J11" s="14" t="n">
        <v>1</v>
      </c>
      <c r="K11" s="16" t="n">
        <v>0.04</v>
      </c>
      <c r="L11" s="16" t="n">
        <v>0</v>
      </c>
      <c r="M11" s="20" t="n">
        <v>1</v>
      </c>
      <c r="N11" s="20" t="n">
        <v>0</v>
      </c>
      <c r="O11" s="20" t="n">
        <v>0</v>
      </c>
      <c r="P11" s="20" t="n">
        <v>0</v>
      </c>
      <c r="Q11" s="20" t="n">
        <v>0</v>
      </c>
      <c r="R11" s="16" t="n">
        <v>0.12</v>
      </c>
    </row>
    <row r="12">
      <c r="A12" s="11" t="inlineStr">
        <is>
          <t>Apr 2027</t>
        </is>
      </c>
      <c r="B12" s="20" t="n">
        <v>16</v>
      </c>
      <c r="C12" s="20" t="n">
        <v>6</v>
      </c>
      <c r="D12" s="20" t="n">
        <v>0</v>
      </c>
      <c r="E12" s="20" t="n">
        <v>0</v>
      </c>
      <c r="F12" s="20" t="n">
        <v>0</v>
      </c>
      <c r="G12" s="20" t="n">
        <v>8</v>
      </c>
      <c r="H12" s="21">
        <f>B12+C12+D12+E12+F12</f>
        <v/>
      </c>
      <c r="I12" s="21">
        <f>H12+G12</f>
        <v/>
      </c>
      <c r="J12" s="14" t="n">
        <v>1</v>
      </c>
      <c r="K12" s="16" t="n">
        <v>0.01</v>
      </c>
      <c r="L12" s="16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16" t="n">
        <v>0.14</v>
      </c>
    </row>
    <row r="13">
      <c r="A13" s="11" t="inlineStr">
        <is>
          <t>May 2027</t>
        </is>
      </c>
      <c r="B13" s="20" t="n">
        <v>8</v>
      </c>
      <c r="C13" s="20" t="n">
        <v>0</v>
      </c>
      <c r="D13" s="20" t="n">
        <v>10</v>
      </c>
      <c r="E13" s="20" t="n">
        <v>0</v>
      </c>
      <c r="F13" s="20" t="n">
        <v>4</v>
      </c>
      <c r="G13" s="20" t="n">
        <v>9</v>
      </c>
      <c r="H13" s="21">
        <f>B13+C13+D13+E13+F13</f>
        <v/>
      </c>
      <c r="I13" s="21">
        <f>H13+G13</f>
        <v/>
      </c>
      <c r="J13" s="14" t="n">
        <v>1</v>
      </c>
      <c r="K13" s="16" t="n">
        <v>0.01</v>
      </c>
      <c r="L13" s="16" t="n">
        <v>0</v>
      </c>
      <c r="M13" s="20" t="n">
        <v>0</v>
      </c>
      <c r="N13" s="20" t="n">
        <v>0</v>
      </c>
      <c r="O13" s="20" t="n">
        <v>0</v>
      </c>
      <c r="P13" s="20" t="n">
        <v>1</v>
      </c>
      <c r="Q13" s="20" t="n">
        <v>1</v>
      </c>
      <c r="R13" s="16" t="n">
        <v>0.09</v>
      </c>
    </row>
    <row r="14">
      <c r="A14" s="11" t="inlineStr">
        <is>
          <t>Jun 2027</t>
        </is>
      </c>
      <c r="B14" s="20" t="n">
        <v>0</v>
      </c>
      <c r="C14" s="20" t="n">
        <v>0</v>
      </c>
      <c r="D14" s="20" t="n">
        <v>5</v>
      </c>
      <c r="E14" s="20" t="n">
        <v>1</v>
      </c>
      <c r="F14" s="20" t="n">
        <v>16</v>
      </c>
      <c r="G14" s="20" t="n">
        <v>8</v>
      </c>
      <c r="H14" s="21">
        <f>B14+C14+D14+E14+F14</f>
        <v/>
      </c>
      <c r="I14" s="21">
        <f>H14+G14</f>
        <v/>
      </c>
      <c r="J14" s="14" t="n">
        <v>1</v>
      </c>
      <c r="K14" s="16" t="n">
        <v>0</v>
      </c>
      <c r="L14" s="16" t="n">
        <v>0.4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16" t="n">
        <v>0.03</v>
      </c>
    </row>
    <row r="15">
      <c r="A15" s="11" t="inlineStr">
        <is>
          <t>Jul 2027</t>
        </is>
      </c>
      <c r="B15" s="20" t="n">
        <v>0</v>
      </c>
      <c r="C15" s="20" t="n">
        <v>0</v>
      </c>
      <c r="D15" s="20" t="n">
        <v>0</v>
      </c>
      <c r="E15" s="20" t="n">
        <v>0</v>
      </c>
      <c r="F15" s="20" t="n">
        <v>23</v>
      </c>
      <c r="G15" s="20" t="n">
        <v>8</v>
      </c>
      <c r="H15" s="21">
        <f>B15+C15+D15+E15+F15</f>
        <v/>
      </c>
      <c r="I15" s="21">
        <f>H15+G15</f>
        <v/>
      </c>
      <c r="J15" s="14" t="n">
        <v>1</v>
      </c>
      <c r="K15" s="16" t="n">
        <v>0</v>
      </c>
      <c r="L15" s="16" t="n">
        <v>0.4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16" t="n">
        <v>0.02</v>
      </c>
    </row>
    <row r="16">
      <c r="A16" s="3" t="inlineStr">
        <is>
          <t>TOTAL</t>
        </is>
      </c>
      <c r="B16" s="22">
        <f>SUM(B4:B15)</f>
        <v/>
      </c>
      <c r="C16" s="22">
        <f>SUM(C4:C15)</f>
        <v/>
      </c>
      <c r="D16" s="22">
        <f>SUM(D4:D15)</f>
        <v/>
      </c>
      <c r="E16" s="22">
        <f>SUM(E4:E15)</f>
        <v/>
      </c>
      <c r="F16" s="22">
        <f>SUM(F4:F15)</f>
        <v/>
      </c>
      <c r="G16" s="22">
        <f>SUM(G4:G15)</f>
        <v/>
      </c>
      <c r="H16" s="22">
        <f>SUM(H4:H15)</f>
        <v/>
      </c>
      <c r="I16" s="22">
        <f>SUM(I4:I15)</f>
        <v/>
      </c>
      <c r="K16" s="23">
        <f>SUM(K4:K15)</f>
        <v/>
      </c>
      <c r="L16" s="23">
        <f>SUM(L4:L15)</f>
        <v/>
      </c>
      <c r="R16" s="23">
        <f>SUM(R4:R15)</f>
        <v/>
      </c>
    </row>
    <row r="17">
      <c r="I17" s="2" t="inlineStr">
        <is>
          <t>← 365</t>
        </is>
      </c>
      <c r="K17" s="2" t="inlineStr">
        <is>
          <t>← must be 100%</t>
        </is>
      </c>
      <c r="L17" s="2" t="inlineStr">
        <is>
          <t>← must be 100%</t>
        </is>
      </c>
      <c r="R17" s="2" t="inlineStr">
        <is>
          <t>← must be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24" customWidth="1" min="3" max="3"/>
    <col width="22" customWidth="1" min="4" max="4"/>
    <col width="16" customWidth="1" min="5" max="5"/>
  </cols>
  <sheetData>
    <row r="1">
      <c r="A1" s="1" t="inlineStr">
        <is>
          <t>Internal team, overheads and onboarding</t>
        </is>
      </c>
    </row>
    <row r="2">
      <c r="A2" s="2" t="inlineStr">
        <is>
          <t>Gross salaries per month. Labour for onboarding/training is inside these salaries; only out-of-pocket onboarding costs are listed separately.</t>
        </is>
      </c>
    </row>
    <row r="3">
      <c r="A3" s="19" t="inlineStr">
        <is>
          <t>Role</t>
        </is>
      </c>
      <c r="B3" s="19" t="inlineStr">
        <is>
          <t>Count</t>
        </is>
      </c>
      <c r="C3" s="19" t="inlineStr">
        <is>
          <t>Gross ₹ / month</t>
        </is>
      </c>
      <c r="D3" s="19" t="inlineStr">
        <is>
          <t>Months / year</t>
        </is>
      </c>
      <c r="E3" s="19" t="inlineStr">
        <is>
          <t>Annual ₹</t>
        </is>
      </c>
    </row>
    <row r="4">
      <c r="A4" s="20" t="inlineStr">
        <is>
          <t>Full-stack developer</t>
        </is>
      </c>
      <c r="B4" s="20" t="n">
        <v>1</v>
      </c>
      <c r="C4" s="24" t="n">
        <v>30000</v>
      </c>
      <c r="D4" s="20" t="n">
        <v>12</v>
      </c>
      <c r="E4" s="25">
        <f>B4*C4*D4</f>
        <v/>
      </c>
    </row>
    <row r="5">
      <c r="A5" s="20" t="inlineStr">
        <is>
          <t>Full-stack developer</t>
        </is>
      </c>
      <c r="B5" s="20" t="n">
        <v>1</v>
      </c>
      <c r="C5" s="24" t="n">
        <v>30000</v>
      </c>
      <c r="D5" s="20" t="n">
        <v>12</v>
      </c>
      <c r="E5" s="25">
        <f>B5*C5*D5</f>
        <v/>
      </c>
    </row>
    <row r="6">
      <c r="A6" s="20" t="inlineStr">
        <is>
          <t>Support &amp; training executive</t>
        </is>
      </c>
      <c r="B6" s="20" t="n">
        <v>1</v>
      </c>
      <c r="C6" s="24" t="n">
        <v>30000</v>
      </c>
      <c r="D6" s="20" t="n">
        <v>12</v>
      </c>
      <c r="E6" s="25">
        <f>B6*C6*D6</f>
        <v/>
      </c>
    </row>
    <row r="7">
      <c r="A7" s="20" t="inlineStr">
        <is>
          <t>Support &amp; training executive</t>
        </is>
      </c>
      <c r="B7" s="20" t="n">
        <v>1</v>
      </c>
      <c r="C7" s="24" t="n">
        <v>30000</v>
      </c>
      <c r="D7" s="20" t="n">
        <v>12</v>
      </c>
      <c r="E7" s="25">
        <f>B7*C7*D7</f>
        <v/>
      </c>
    </row>
    <row r="8">
      <c r="A8" s="20" t="inlineStr">
        <is>
          <t>Project / customer-success lead</t>
        </is>
      </c>
      <c r="B8" s="20" t="n">
        <v>1</v>
      </c>
      <c r="C8" s="24" t="n">
        <v>30000</v>
      </c>
      <c r="D8" s="20" t="n">
        <v>12</v>
      </c>
      <c r="E8" s="25">
        <f>B8*C8*D8</f>
        <v/>
      </c>
    </row>
    <row r="9">
      <c r="A9" s="20" t="inlineStr"/>
      <c r="B9" s="20" t="n">
        <v>0</v>
      </c>
      <c r="C9" s="24" t="n">
        <v>0</v>
      </c>
      <c r="D9" s="20" t="n">
        <v>12</v>
      </c>
      <c r="E9" s="25">
        <f>B9*C9*D9</f>
        <v/>
      </c>
    </row>
    <row r="10">
      <c r="A10" s="20" t="inlineStr"/>
      <c r="B10" s="20" t="n">
        <v>0</v>
      </c>
      <c r="C10" s="24" t="n">
        <v>0</v>
      </c>
      <c r="D10" s="20" t="n">
        <v>12</v>
      </c>
      <c r="E10" s="25">
        <f>B10*C10*D10</f>
        <v/>
      </c>
    </row>
    <row r="11">
      <c r="A11" s="20" t="inlineStr"/>
      <c r="B11" s="20" t="n">
        <v>0</v>
      </c>
      <c r="C11" s="24" t="n">
        <v>0</v>
      </c>
      <c r="D11" s="20" t="n">
        <v>12</v>
      </c>
      <c r="E11" s="25">
        <f>B11*C11*D11</f>
        <v/>
      </c>
    </row>
    <row r="12">
      <c r="A12" s="20" t="inlineStr"/>
      <c r="B12" s="20" t="n">
        <v>0</v>
      </c>
      <c r="C12" s="24" t="n">
        <v>0</v>
      </c>
      <c r="D12" s="20" t="n">
        <v>12</v>
      </c>
      <c r="E12" s="25">
        <f>B12*C12*D12</f>
        <v/>
      </c>
    </row>
    <row r="13">
      <c r="A13" s="20" t="inlineStr"/>
      <c r="B13" s="20" t="n">
        <v>0</v>
      </c>
      <c r="C13" s="24" t="n">
        <v>0</v>
      </c>
      <c r="D13" s="20" t="n">
        <v>12</v>
      </c>
      <c r="E13" s="25">
        <f>B13*C13*D13</f>
        <v/>
      </c>
    </row>
    <row r="14">
      <c r="A14" s="3" t="inlineStr">
        <is>
          <t>Total team cost per year</t>
        </is>
      </c>
      <c r="E14" s="26">
        <f>SUM(E4:E13)</f>
        <v/>
      </c>
    </row>
    <row r="15">
      <c r="A15" t="inlineStr">
        <is>
          <t>Total team cost per month</t>
        </is>
      </c>
      <c r="E15" s="25">
        <f>E14/12</f>
        <v/>
      </c>
    </row>
    <row r="17">
      <c r="A17" s="3" t="inlineStr">
        <is>
          <t>Colleges sharing this team (allocation divisor)</t>
        </is>
      </c>
      <c r="E17" s="20" t="n">
        <v>1</v>
      </c>
    </row>
    <row r="18">
      <c r="A18" t="inlineStr">
        <is>
          <t>Team cost allocated to THIS college per year</t>
        </is>
      </c>
      <c r="E18" s="27">
        <f>E14/E17</f>
        <v/>
      </c>
    </row>
    <row r="21">
      <c r="A21" s="19" t="inlineStr">
        <is>
          <t>Overhead item (per year)</t>
        </is>
      </c>
      <c r="B21" s="19" t="inlineStr">
        <is>
          <t>Annual ₹</t>
        </is>
      </c>
      <c r="C21" s="19" t="inlineStr">
        <is>
          <t>Shared across colleges? (1 = yes, 0 = this college only)</t>
        </is>
      </c>
      <c r="D21" s="19" t="inlineStr">
        <is>
          <t>Allocated to this college ₹</t>
        </is>
      </c>
    </row>
    <row r="22">
      <c r="A22" s="20" t="inlineStr">
        <is>
          <t>Google Workspace (5 seats)</t>
        </is>
      </c>
      <c r="B22" s="24" t="n">
        <v>8160</v>
      </c>
      <c r="C22" s="20" t="n">
        <v>1</v>
      </c>
      <c r="D22" s="25">
        <f>IF(C22=1,B22/'Team &amp; Overheads'!$E$17,B22)</f>
        <v/>
      </c>
    </row>
    <row r="23">
      <c r="A23" s="20" t="inlineStr">
        <is>
          <t>Domain + DNS</t>
        </is>
      </c>
      <c r="B23" s="24" t="n">
        <v>1500</v>
      </c>
      <c r="C23" s="20" t="n">
        <v>1</v>
      </c>
      <c r="D23" s="25">
        <f>IF(C23=1,B23/'Team &amp; Overheads'!$E$17,B23)</f>
        <v/>
      </c>
    </row>
    <row r="24">
      <c r="A24" s="20" t="inlineStr">
        <is>
          <t>Error monitoring (Sentry) — optional</t>
        </is>
      </c>
      <c r="B24" s="24" t="n">
        <v>0</v>
      </c>
      <c r="C24" s="20" t="n">
        <v>1</v>
      </c>
      <c r="D24" s="25">
        <f>IF(C24=1,B24/'Team &amp; Overheads'!$E$17,B24)</f>
        <v/>
      </c>
    </row>
    <row r="25">
      <c r="A25" s="20" t="inlineStr">
        <is>
          <t>AI coding tools for developers — optional</t>
        </is>
      </c>
      <c r="B25" s="24" t="n">
        <v>0</v>
      </c>
      <c r="C25" s="20" t="n">
        <v>1</v>
      </c>
      <c r="D25" s="25">
        <f>IF(C25=1,B25/'Team &amp; Overheads'!$E$17,B25)</f>
        <v/>
      </c>
    </row>
    <row r="26">
      <c r="A26" s="20" t="inlineStr">
        <is>
          <t>Travel / site visits to the college</t>
        </is>
      </c>
      <c r="B26" s="24" t="n">
        <v>30000</v>
      </c>
      <c r="C26" s="20" t="n">
        <v>0</v>
      </c>
      <c r="D26" s="25">
        <f>IF(C26=1,B26/'Team &amp; Overheads'!$E$17,B26)</f>
        <v/>
      </c>
    </row>
    <row r="27">
      <c r="A27" s="20" t="inlineStr">
        <is>
          <t>Laptops, internet, phones (amortised)</t>
        </is>
      </c>
      <c r="B27" s="24" t="n">
        <v>0</v>
      </c>
      <c r="C27" s="20" t="n">
        <v>1</v>
      </c>
      <c r="D27" s="25">
        <f>IF(C27=1,B27/'Team &amp; Overheads'!$E$17,B27)</f>
        <v/>
      </c>
    </row>
    <row r="28">
      <c r="A28" s="20" t="inlineStr">
        <is>
          <t>Google Cloud Standard support — optional</t>
        </is>
      </c>
      <c r="B28" s="24" t="n">
        <v>0</v>
      </c>
      <c r="C28" s="20" t="n">
        <v>1</v>
      </c>
      <c r="D28" s="25">
        <f>IF(C28=1,B28/'Team &amp; Overheads'!$E$17,B28)</f>
        <v/>
      </c>
    </row>
    <row r="29">
      <c r="A29" s="20" t="inlineStr">
        <is>
          <t>WhatsApp / SMS gateway — optional add-on</t>
        </is>
      </c>
      <c r="B29" s="24" t="n">
        <v>0</v>
      </c>
      <c r="C29" s="20" t="n">
        <v>0</v>
      </c>
      <c r="D29" s="25">
        <f>IF(C29=1,B29/'Team &amp; Overheads'!$E$17,B29)</f>
        <v/>
      </c>
    </row>
    <row r="30">
      <c r="A30" s="20" t="inlineStr"/>
      <c r="B30" s="24" t="n">
        <v>0</v>
      </c>
      <c r="C30" s="20" t="n">
        <v>1</v>
      </c>
      <c r="D30" s="25">
        <f>IF(C30=1,B30/'Team &amp; Overheads'!$E$17,B30)</f>
        <v/>
      </c>
    </row>
    <row r="31">
      <c r="A31" s="20" t="inlineStr"/>
      <c r="B31" s="24" t="n">
        <v>0</v>
      </c>
      <c r="C31" s="20" t="n">
        <v>1</v>
      </c>
      <c r="D31" s="25">
        <f>IF(C31=1,B31/'Team &amp; Overheads'!$E$17,B31)</f>
        <v/>
      </c>
    </row>
    <row r="32">
      <c r="A32" s="3" t="inlineStr">
        <is>
          <t>Total overheads allocated to this college per year</t>
        </is>
      </c>
      <c r="D32" s="26">
        <f>SUM(D22:D31)</f>
        <v/>
      </c>
    </row>
    <row r="33">
      <c r="A33" t="inlineStr">
        <is>
          <t>Shared overheads (total, before allocation)</t>
        </is>
      </c>
      <c r="D33" s="25">
        <f>SUMIF(C22:C31,1,B22:B31)</f>
        <v/>
      </c>
    </row>
    <row r="34">
      <c r="A34" t="inlineStr">
        <is>
          <t>Per-college overheads (this college only)</t>
        </is>
      </c>
      <c r="D34" s="25">
        <f>SUMIF(C22:C31,0,B22:B31)</f>
        <v/>
      </c>
    </row>
    <row r="37">
      <c r="A37" s="19" t="inlineStr">
        <is>
          <t>Onboarding out-of-pocket (year 1, this college)</t>
        </is>
      </c>
      <c r="B37" s="19" t="inlineStr">
        <is>
          <t>₹</t>
        </is>
      </c>
    </row>
    <row r="38">
      <c r="A38" s="20" t="inlineStr">
        <is>
          <t>Travel &amp; stay during go-live weeks</t>
        </is>
      </c>
      <c r="B38" s="24" t="n">
        <v>20000</v>
      </c>
    </row>
    <row r="39">
      <c r="A39" s="20" t="inlineStr">
        <is>
          <t>Training material &amp; printing</t>
        </is>
      </c>
      <c r="B39" s="24" t="n">
        <v>10000</v>
      </c>
    </row>
    <row r="40">
      <c r="A40" s="20" t="inlineStr">
        <is>
          <t>Data-migration contractor / data entry — optional</t>
        </is>
      </c>
      <c r="B40" s="24" t="n">
        <v>0</v>
      </c>
    </row>
    <row r="41">
      <c r="A41" s="20" t="inlineStr"/>
      <c r="B41" s="24" t="n">
        <v>0</v>
      </c>
    </row>
    <row r="42">
      <c r="A42" s="20" t="inlineStr"/>
      <c r="B42" s="24" t="n">
        <v>0</v>
      </c>
    </row>
    <row r="43">
      <c r="A43" s="3" t="inlineStr">
        <is>
          <t>Total onboarding out-of-pocket</t>
        </is>
      </c>
      <c r="B43" s="26">
        <f>SUM(B38:B42)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70" customWidth="1" min="10" max="10"/>
  </cols>
  <sheetData>
    <row r="1">
      <c r="A1" s="1" t="inlineStr">
        <is>
          <t>AI / LLM costing by feature</t>
        </is>
      </c>
    </row>
    <row r="2">
      <c r="A2" s="2" t="inlineStr">
        <is>
          <t>Prices per 1M tokens (Sept 2026). gemini-1.5-flash was shut down 29 Sep 2025 — chat / prep / study packs must move to gemini-2.5-flash-lite (cheaper) or gemini-2.5-flash. Pick the model per feature from the dropdown.</t>
        </is>
      </c>
    </row>
    <row r="3">
      <c r="A3" s="19" t="inlineStr">
        <is>
          <t>Model</t>
        </is>
      </c>
      <c r="B3" s="19" t="inlineStr">
        <is>
          <t>$ per 1M input tokens</t>
        </is>
      </c>
      <c r="C3" s="19" t="inlineStr">
        <is>
          <t>$ per 1M output tokens</t>
        </is>
      </c>
    </row>
    <row r="4">
      <c r="A4" s="20" t="inlineStr">
        <is>
          <t>gemini-2.5-flash</t>
        </is>
      </c>
      <c r="B4" s="15" t="n">
        <v>0.3</v>
      </c>
      <c r="C4" s="15" t="n">
        <v>2.5</v>
      </c>
    </row>
    <row r="5">
      <c r="A5" s="20" t="inlineStr">
        <is>
          <t>gemini-2.5-flash-lite</t>
        </is>
      </c>
      <c r="B5" s="15" t="n">
        <v>0.1</v>
      </c>
      <c r="C5" s="15" t="n">
        <v>0.4</v>
      </c>
    </row>
    <row r="6">
      <c r="A6" s="20" t="inlineStr">
        <is>
          <t>gpt-4o-mini</t>
        </is>
      </c>
      <c r="B6" s="15" t="n">
        <v>0.15</v>
      </c>
      <c r="C6" s="15" t="n">
        <v>0.6</v>
      </c>
    </row>
    <row r="7">
      <c r="A7" s="20" t="inlineStr">
        <is>
          <t>deepseek-chat</t>
        </is>
      </c>
      <c r="B7" s="15" t="n">
        <v>0.28</v>
      </c>
      <c r="C7" s="15" t="n">
        <v>0.42</v>
      </c>
    </row>
    <row r="8">
      <c r="A8" s="20" t="inlineStr">
        <is>
          <t>custom-model-1</t>
        </is>
      </c>
      <c r="B8" s="15" t="n">
        <v>0</v>
      </c>
      <c r="C8" s="15" t="n">
        <v>0</v>
      </c>
    </row>
    <row r="9">
      <c r="A9" s="20" t="inlineStr">
        <is>
          <t>custom-model-2</t>
        </is>
      </c>
      <c r="B9" s="15" t="n">
        <v>0</v>
      </c>
      <c r="C9" s="15" t="n">
        <v>0</v>
      </c>
    </row>
    <row r="12">
      <c r="A12" s="19" t="inlineStr">
        <is>
          <t>Feature</t>
        </is>
      </c>
      <c r="B12" s="19" t="inlineStr">
        <is>
          <t>Model</t>
        </is>
      </c>
      <c r="C12" s="19" t="inlineStr">
        <is>
          <t>Calls per year</t>
        </is>
      </c>
      <c r="D12" s="19" t="inlineStr">
        <is>
          <t>Tokens in / call</t>
        </is>
      </c>
      <c r="E12" s="19" t="inlineStr">
        <is>
          <t>Tokens out / call</t>
        </is>
      </c>
      <c r="F12" s="19" t="inlineStr">
        <is>
          <t>$ per call</t>
        </is>
      </c>
      <c r="G12" s="19" t="inlineStr">
        <is>
          <t>₹ per call</t>
        </is>
      </c>
      <c r="H12" s="19" t="inlineStr">
        <is>
          <t>$ per year</t>
        </is>
      </c>
      <c r="I12" s="19" t="inlineStr">
        <is>
          <t>₹ per year</t>
        </is>
      </c>
      <c r="J12" s="19" t="inlineStr">
        <is>
          <t>Code path &amp; cost guard</t>
        </is>
      </c>
    </row>
    <row r="13">
      <c r="A13" s="20" t="inlineStr">
        <is>
          <t>AI question generation (faculty)</t>
        </is>
      </c>
      <c r="B13" s="20" t="inlineStr">
        <is>
          <t>gemini-2.5-flash</t>
        </is>
      </c>
      <c r="C13" s="13">
        <f>Inputs!$C$7*30</f>
        <v/>
      </c>
      <c r="D13" s="20" t="n">
        <v>2500</v>
      </c>
      <c r="E13" s="20" t="n">
        <v>4000</v>
      </c>
      <c r="F13" s="28">
        <f>(D13*VLOOKUP(B13,$A$4:$C$9,2,FALSE)+E13*VLOOKUP(B13,$A$4:$C$9,3,FALSE))/1000000</f>
        <v/>
      </c>
      <c r="G13" s="29">
        <f>F13*Inputs!$C$23</f>
        <v/>
      </c>
      <c r="H13" s="30">
        <f>C13*F13</f>
        <v/>
      </c>
      <c r="I13" s="25">
        <f>H13*Inputs!$C$23</f>
        <v/>
      </c>
      <c r="J13" s="2" t="inlineStr">
        <is>
          <t>routes/ai-questions.ts — TIER_CONFIG 100/500/1000 questions per day</t>
        </is>
      </c>
    </row>
    <row r="14">
      <c r="A14" s="20" t="inlineStr">
        <is>
          <t>AI paper parsing (Gemini fallback)</t>
        </is>
      </c>
      <c r="B14" s="20" t="inlineStr">
        <is>
          <t>gemini-2.5-flash</t>
        </is>
      </c>
      <c r="C14" s="13">
        <f>Inputs!$C$7*6*0.4</f>
        <v/>
      </c>
      <c r="D14" s="20" t="n">
        <v>10000</v>
      </c>
      <c r="E14" s="20" t="n">
        <v>5000</v>
      </c>
      <c r="F14" s="28">
        <f>(D14*VLOOKUP(B14,$A$4:$C$9,2,FALSE)+E14*VLOOKUP(B14,$A$4:$C$9,3,FALSE))/1000000</f>
        <v/>
      </c>
      <c r="G14" s="29">
        <f>F14*Inputs!$C$23</f>
        <v/>
      </c>
      <c r="H14" s="30">
        <f>C14*F14</f>
        <v/>
      </c>
      <c r="I14" s="25">
        <f>H14*Inputs!$C$23</f>
        <v/>
      </c>
      <c r="J14" s="2" t="inlineStr">
        <is>
          <t>paperParsing.ts — deterministic parser first</t>
        </is>
      </c>
    </row>
    <row r="15">
      <c r="A15" s="20" t="inlineStr">
        <is>
          <t>AI grading suggestions (descriptive answers)</t>
        </is>
      </c>
      <c r="B15" s="20" t="inlineStr">
        <is>
          <t>gemini-2.5-flash</t>
        </is>
      </c>
      <c r="C15" s="13">
        <f>Inputs!$C$6*Inputs!$C$89*0.3</f>
        <v/>
      </c>
      <c r="D15" s="20" t="n">
        <v>8000</v>
      </c>
      <c r="E15" s="20" t="n">
        <v>2000</v>
      </c>
      <c r="F15" s="28">
        <f>(D15*VLOOKUP(B15,$A$4:$C$9,2,FALSE)+E15*VLOOKUP(B15,$A$4:$C$9,3,FALSE))/1000000</f>
        <v/>
      </c>
      <c r="G15" s="29">
        <f>F15*Inputs!$C$23</f>
        <v/>
      </c>
      <c r="H15" s="30">
        <f>C15*F15</f>
        <v/>
      </c>
      <c r="I15" s="25">
        <f>H15*Inputs!$C$23</f>
        <v/>
      </c>
      <c r="J15" s="2" t="inlineStr">
        <is>
          <t>studentAssessments.ts — cached per attempt, ≤ 50 questions</t>
        </is>
      </c>
    </row>
    <row r="16">
      <c r="A16" s="20" t="inlineStr">
        <is>
          <t>AI study-material packs (cached, shared)</t>
        </is>
      </c>
      <c r="B16" s="20" t="inlineStr">
        <is>
          <t>gemini-2.5-flash</t>
        </is>
      </c>
      <c r="C16" s="12" t="n">
        <v>12000</v>
      </c>
      <c r="D16" s="20" t="n">
        <v>3000</v>
      </c>
      <c r="E16" s="20" t="n">
        <v>5000</v>
      </c>
      <c r="F16" s="28">
        <f>(D16*VLOOKUP(B16,$A$4:$C$9,2,FALSE)+E16*VLOOKUP(B16,$A$4:$C$9,3,FALSE))/1000000</f>
        <v/>
      </c>
      <c r="G16" s="29">
        <f>F16*Inputs!$C$23</f>
        <v/>
      </c>
      <c r="H16" s="30">
        <f>C16*F16</f>
        <v/>
      </c>
      <c r="I16" s="25">
        <f>H16*Inputs!$C$23</f>
        <v/>
      </c>
      <c r="J16" s="2" t="inlineStr">
        <is>
          <t>routes/ai-chat.ts /study-material — cache + 5/day/student + 400/day/college</t>
        </is>
      </c>
    </row>
    <row r="17">
      <c r="A17" s="20" t="inlineStr">
        <is>
          <t>AI study assistant chat (students)</t>
        </is>
      </c>
      <c r="B17" s="20" t="inlineStr">
        <is>
          <t>gemini-2.5-flash</t>
        </is>
      </c>
      <c r="C17" s="13">
        <f>Inputs!$C$6*0.3*150</f>
        <v/>
      </c>
      <c r="D17" s="20" t="n">
        <v>3000</v>
      </c>
      <c r="E17" s="20" t="n">
        <v>500</v>
      </c>
      <c r="F17" s="28">
        <f>(D17*VLOOKUP(B17,$A$4:$C$9,2,FALSE)+E17*VLOOKUP(B17,$A$4:$C$9,3,FALSE))/1000000</f>
        <v/>
      </c>
      <c r="G17" s="29">
        <f>F17*Inputs!$C$23</f>
        <v/>
      </c>
      <c r="H17" s="30">
        <f>C17*F17</f>
        <v/>
      </c>
      <c r="I17" s="25">
        <f>H17*Inputs!$C$23</f>
        <v/>
      </c>
      <c r="J17" s="2" t="inlineStr">
        <is>
          <t>routes/ai-chat.ts /chat — NO per-student daily cap yet; add 20/day</t>
        </is>
      </c>
    </row>
    <row r="18">
      <c r="A18" s="20" t="inlineStr">
        <is>
          <t>Placement prep generation (final years)</t>
        </is>
      </c>
      <c r="B18" s="20" t="inlineStr">
        <is>
          <t>gemini-2.5-flash</t>
        </is>
      </c>
      <c r="C18" s="13">
        <f>Inputs!$C$19*20</f>
        <v/>
      </c>
      <c r="D18" s="20" t="n">
        <v>2000</v>
      </c>
      <c r="E18" s="20" t="n">
        <v>3000</v>
      </c>
      <c r="F18" s="28">
        <f>(D18*VLOOKUP(B18,$A$4:$C$9,2,FALSE)+E18*VLOOKUP(B18,$A$4:$C$9,3,FALSE))/1000000</f>
        <v/>
      </c>
      <c r="G18" s="29">
        <f>F18*Inputs!$C$23</f>
        <v/>
      </c>
      <c r="H18" s="30">
        <f>C18*F18</f>
        <v/>
      </c>
      <c r="I18" s="25">
        <f>H18*Inputs!$C$23</f>
        <v/>
      </c>
      <c r="J18" s="2" t="inlineStr">
        <is>
          <t>routes/prep.ts — rate limiter only</t>
        </is>
      </c>
    </row>
    <row r="19">
      <c r="A19" s="20" t="inlineStr"/>
      <c r="B19" s="20" t="inlineStr">
        <is>
          <t>gemini-2.5-flash-lite</t>
        </is>
      </c>
      <c r="C19" s="12" t="n">
        <v>0</v>
      </c>
      <c r="D19" s="20" t="n">
        <v>0</v>
      </c>
      <c r="E19" s="20" t="n">
        <v>0</v>
      </c>
      <c r="F19" s="28">
        <f>(D19*VLOOKUP(B19,$A$4:$C$9,2,FALSE)+E19*VLOOKUP(B19,$A$4:$C$9,3,FALSE))/1000000</f>
        <v/>
      </c>
      <c r="G19" s="29">
        <f>F19*Inputs!$C$23</f>
        <v/>
      </c>
      <c r="H19" s="30">
        <f>C19*F19</f>
        <v/>
      </c>
      <c r="I19" s="25">
        <f>H19*Inputs!$C$23</f>
        <v/>
      </c>
      <c r="J19" s="2" t="inlineStr"/>
    </row>
    <row r="20">
      <c r="A20" s="20" t="inlineStr"/>
      <c r="B20" s="20" t="inlineStr">
        <is>
          <t>gemini-2.5-flash-lite</t>
        </is>
      </c>
      <c r="C20" s="12" t="n">
        <v>0</v>
      </c>
      <c r="D20" s="20" t="n">
        <v>0</v>
      </c>
      <c r="E20" s="20" t="n">
        <v>0</v>
      </c>
      <c r="F20" s="28">
        <f>(D20*VLOOKUP(B20,$A$4:$C$9,2,FALSE)+E20*VLOOKUP(B20,$A$4:$C$9,3,FALSE))/1000000</f>
        <v/>
      </c>
      <c r="G20" s="29">
        <f>F20*Inputs!$C$23</f>
        <v/>
      </c>
      <c r="H20" s="30">
        <f>C20*F20</f>
        <v/>
      </c>
      <c r="I20" s="25">
        <f>H20*Inputs!$C$23</f>
        <v/>
      </c>
      <c r="J20" s="2" t="inlineStr"/>
    </row>
    <row r="21">
      <c r="A21" s="3" t="inlineStr">
        <is>
          <t>AI cost per year — base estimate</t>
        </is>
      </c>
      <c r="I21" s="31">
        <f>SUM(I13:I20)</f>
        <v/>
      </c>
    </row>
    <row r="22">
      <c r="A22" t="inlineStr">
        <is>
          <t>Safety buffer on AI (1.0 = none; raise to 1.5–2.0 if you do not add the per-student chat cap). P&amp;L adds its own contingency.</t>
        </is>
      </c>
      <c r="I22" s="14" t="n">
        <v>1</v>
      </c>
    </row>
    <row r="23">
      <c r="A23" s="3" t="inlineStr">
        <is>
          <t>AI BUDGET per year used in the plan</t>
        </is>
      </c>
      <c r="I23" s="26">
        <f>I21*I22</f>
        <v/>
      </c>
    </row>
    <row r="24">
      <c r="A24" t="inlineStr">
        <is>
          <t>AI budget per student per year</t>
        </is>
      </c>
      <c r="I24" s="29">
        <f>I23/Inputs!$C$6</f>
        <v/>
      </c>
    </row>
  </sheetData>
  <dataValidations count="1">
    <dataValidation sqref="B13:B20" showDropDown="0" showInputMessage="0" showErrorMessage="0" allowBlank="1" type="list">
      <formula1>=$A$4:$A$9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pane xSplit="1" ySplit="29" topLeftCell="B3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1" t="inlineStr">
        <is>
          <t>Usage model — Firestore reads &amp; writes per role per day type, then month by month</t>
        </is>
      </c>
    </row>
    <row r="2">
      <c r="A2" s="2" t="inlineStr">
        <is>
          <t>Part A is the steady-state daily profile (attendance ramp = 1). Part B applies the calendar, the per-month attendance ramp, fee/admission timing and one-off bursts, and charges only the reads/writes above the daily free quota.</t>
        </is>
      </c>
    </row>
    <row r="3">
      <c r="A3" s="3" t="inlineStr">
        <is>
          <t>A. Daily reads &amp; writes by day type (steady state)</t>
        </is>
      </c>
      <c r="B3" s="3" t="inlineStr">
        <is>
          <t>READS per day</t>
        </is>
      </c>
      <c r="I3" s="3" t="inlineStr">
        <is>
          <t>WRITES per day</t>
        </is>
      </c>
    </row>
    <row r="4">
      <c r="A4" s="19" t="inlineStr">
        <is>
          <t>Component</t>
        </is>
      </c>
      <c r="B4" s="19" t="inlineStr">
        <is>
          <t>Teach</t>
        </is>
      </c>
      <c r="C4" s="19" t="inlineStr">
        <is>
          <t>IA</t>
        </is>
      </c>
      <c r="D4" s="19" t="inlineStr">
        <is>
          <t>Uni</t>
        </is>
      </c>
      <c r="E4" s="19" t="inlineStr">
        <is>
          <t>Result</t>
        </is>
      </c>
      <c r="F4" s="19" t="inlineStr">
        <is>
          <t>Office</t>
        </is>
      </c>
      <c r="G4" s="19" t="inlineStr">
        <is>
          <t>Off</t>
        </is>
      </c>
      <c r="H4" s="19" t="inlineStr"/>
      <c r="I4" s="19" t="inlineStr">
        <is>
          <t>Teach</t>
        </is>
      </c>
      <c r="J4" s="19" t="inlineStr">
        <is>
          <t>IA</t>
        </is>
      </c>
      <c r="K4" s="19" t="inlineStr">
        <is>
          <t>Uni</t>
        </is>
      </c>
      <c r="L4" s="19" t="inlineStr">
        <is>
          <t>Result</t>
        </is>
      </c>
      <c r="M4" s="19" t="inlineStr">
        <is>
          <t>Office</t>
        </is>
      </c>
      <c r="N4" s="19" t="inlineStr">
        <is>
          <t>Off</t>
        </is>
      </c>
    </row>
    <row r="5">
      <c r="A5" s="11" t="inlineStr">
        <is>
          <t>Students</t>
        </is>
      </c>
      <c r="B5" s="13">
        <f>Inputs!$C$6*Inputs!$C$42*(Inputs!$C$47*(Inputs!$C$49+Inputs!$C$50)+Inputs!$C$51)</f>
        <v/>
      </c>
      <c r="C5" s="13">
        <f>Inputs!$C$6*Inputs!$C$43*(Inputs!$C$47*(Inputs!$C$49+Inputs!$C$50)+Inputs!$C$51)</f>
        <v/>
      </c>
      <c r="D5" s="13">
        <f>Inputs!$C$6*Inputs!$C$44*(Inputs!$C$48*(Inputs!$C$49+Inputs!$C$50)+Inputs!$C$52)</f>
        <v/>
      </c>
      <c r="E5" s="13">
        <f>Inputs!$C$6*Inputs!$C$45*(Inputs!$C$48*(Inputs!$C$49+Inputs!$C$50)+Inputs!$C$53)</f>
        <v/>
      </c>
      <c r="F5" s="13">
        <f>Inputs!$C$6*Inputs!$C$46*(Inputs!$C$48*(Inputs!$C$49+Inputs!$C$50)+Inputs!$C$53)</f>
        <v/>
      </c>
      <c r="G5" s="13">
        <f>Inputs!$C$6*Inputs!$C$46*(Inputs!$C$48*(Inputs!$C$49+Inputs!$C$50)+Inputs!$C$53)</f>
        <v/>
      </c>
      <c r="I5" s="13">
        <f>Inputs!$C$6*Inputs!$C$42*Inputs!$C$54</f>
        <v/>
      </c>
      <c r="J5" s="13">
        <f>Inputs!$C$6*Inputs!$C$43*Inputs!$C$54</f>
        <v/>
      </c>
      <c r="K5" s="13">
        <f>Inputs!$C$6*Inputs!$C$44*Inputs!$C$55</f>
        <v/>
      </c>
      <c r="L5" s="13">
        <f>Inputs!$C$6*Inputs!$C$45*Inputs!$C$55</f>
        <v/>
      </c>
      <c r="M5" s="13">
        <f>Inputs!$C$6*Inputs!$C$46*Inputs!$C$55</f>
        <v/>
      </c>
      <c r="N5" s="13">
        <f>Inputs!$C$6*Inputs!$C$46*Inputs!$C$55</f>
        <v/>
      </c>
    </row>
    <row r="6">
      <c r="A6" s="11" t="inlineStr">
        <is>
          <t>Faculty</t>
        </is>
      </c>
      <c r="B6" s="13">
        <f>Inputs!$C$7*Inputs!$C$59*Inputs!$C$62</f>
        <v/>
      </c>
      <c r="C6" s="13">
        <f>Inputs!$C$7*Inputs!$C$59*(Inputs!$C$62+Inputs!$C$64)</f>
        <v/>
      </c>
      <c r="D6" s="13">
        <f>Inputs!$C$7*Inputs!$C$60*Inputs!$C$66</f>
        <v/>
      </c>
      <c r="E6" s="13">
        <f>Inputs!$C$7*Inputs!$C$61*Inputs!$C$68</f>
        <v/>
      </c>
      <c r="F6" s="13">
        <f>Inputs!$C$7*Inputs!$C$61*Inputs!$C$68</f>
        <v/>
      </c>
      <c r="G6" s="13">
        <f>Inputs!$C$7*Inputs!$C$61*Inputs!$C$68</f>
        <v/>
      </c>
      <c r="I6" s="13">
        <f>Inputs!$C$7*Inputs!$C$59*Inputs!$C$63</f>
        <v/>
      </c>
      <c r="J6" s="13">
        <f>Inputs!$C$7*Inputs!$C$59*(Inputs!$C$63+Inputs!$C$65)</f>
        <v/>
      </c>
      <c r="K6" s="13">
        <f>Inputs!$C$7*Inputs!$C$60*Inputs!$C$67</f>
        <v/>
      </c>
      <c r="L6" s="13">
        <f>Inputs!$C$7*Inputs!$C$61*Inputs!$C$69</f>
        <v/>
      </c>
      <c r="M6" s="13">
        <f>Inputs!$C$7*Inputs!$C$61*Inputs!$C$69</f>
        <v/>
      </c>
      <c r="N6" s="13">
        <f>Inputs!$C$7*Inputs!$C$61*Inputs!$C$69</f>
        <v/>
      </c>
    </row>
    <row r="7">
      <c r="A7" s="11" t="inlineStr">
        <is>
          <t>HOD extra</t>
        </is>
      </c>
      <c r="B7" s="13">
        <f>Inputs!$C$8*Inputs!$C$70</f>
        <v/>
      </c>
      <c r="C7" s="13">
        <f>Inputs!$C$8*Inputs!$C$70</f>
        <v/>
      </c>
      <c r="D7" s="13">
        <f>0</f>
        <v/>
      </c>
      <c r="E7" s="13">
        <f>0</f>
        <v/>
      </c>
      <c r="F7" s="13">
        <f>0</f>
        <v/>
      </c>
      <c r="G7" s="13">
        <f>0</f>
        <v/>
      </c>
      <c r="I7" s="13">
        <f>Inputs!$C$8*Inputs!$C$71</f>
        <v/>
      </c>
      <c r="J7" s="13">
        <f>Inputs!$C$8*Inputs!$C$71</f>
        <v/>
      </c>
      <c r="K7" s="13">
        <f>0</f>
        <v/>
      </c>
      <c r="L7" s="13">
        <f>0</f>
        <v/>
      </c>
      <c r="M7" s="13">
        <f>0</f>
        <v/>
      </c>
      <c r="N7" s="13">
        <f>0</f>
        <v/>
      </c>
    </row>
    <row r="8">
      <c r="A8" s="11" t="inlineStr">
        <is>
          <t>Mentor extra</t>
        </is>
      </c>
      <c r="B8" s="13">
        <f>Inputs!$C$9*Inputs!$C$72</f>
        <v/>
      </c>
      <c r="C8" s="13">
        <f>Inputs!$C$9*Inputs!$C$72</f>
        <v/>
      </c>
      <c r="D8" s="13">
        <f>0</f>
        <v/>
      </c>
      <c r="E8" s="13">
        <f>0</f>
        <v/>
      </c>
      <c r="F8" s="13">
        <f>0</f>
        <v/>
      </c>
      <c r="G8" s="13">
        <f>0</f>
        <v/>
      </c>
      <c r="I8" s="13">
        <f>Inputs!$C$9*Inputs!$C$73</f>
        <v/>
      </c>
      <c r="J8" s="13">
        <f>Inputs!$C$9*Inputs!$C$73</f>
        <v/>
      </c>
      <c r="K8" s="13">
        <f>0</f>
        <v/>
      </c>
      <c r="L8" s="13">
        <f>0</f>
        <v/>
      </c>
      <c r="M8" s="13">
        <f>0</f>
        <v/>
      </c>
      <c r="N8" s="13">
        <f>0</f>
        <v/>
      </c>
    </row>
    <row r="9">
      <c r="A9" s="11" t="inlineStr">
        <is>
          <t>Attendance marking (sessions)</t>
        </is>
      </c>
      <c r="B9" s="13">
        <f>Inputs!$C$18*Inputs!$C$74</f>
        <v/>
      </c>
      <c r="C9" s="13">
        <f>Inputs!$C$18*Inputs!$C$76*Inputs!$C$74</f>
        <v/>
      </c>
      <c r="D9" s="13">
        <f>0</f>
        <v/>
      </c>
      <c r="E9" s="13">
        <f>0</f>
        <v/>
      </c>
      <c r="F9" s="13">
        <f>0</f>
        <v/>
      </c>
      <c r="G9" s="13">
        <f>0</f>
        <v/>
      </c>
      <c r="I9" s="13">
        <f>Inputs!$C$18*Inputs!$C$75</f>
        <v/>
      </c>
      <c r="J9" s="13">
        <f>Inputs!$C$18*Inputs!$C$76*Inputs!$C$75</f>
        <v/>
      </c>
      <c r="K9" s="13">
        <f>0</f>
        <v/>
      </c>
      <c r="L9" s="13">
        <f>0</f>
        <v/>
      </c>
      <c r="M9" s="13">
        <f>0</f>
        <v/>
      </c>
      <c r="N9" s="13">
        <f>0</f>
        <v/>
      </c>
    </row>
    <row r="10">
      <c r="A10" s="11" t="inlineStr">
        <is>
          <t>Principal / admin / exam cell</t>
        </is>
      </c>
      <c r="B10" s="13">
        <f>Inputs!$C$10*Inputs!$C$77</f>
        <v/>
      </c>
      <c r="C10" s="13">
        <f>Inputs!$C$10*Inputs!$C$77</f>
        <v/>
      </c>
      <c r="D10" s="13">
        <f>Inputs!$C$10*Inputs!$C$77</f>
        <v/>
      </c>
      <c r="E10" s="13">
        <f>Inputs!$C$10*Inputs!$C$77</f>
        <v/>
      </c>
      <c r="F10" s="13">
        <f>Inputs!$C$10*Inputs!$C$77</f>
        <v/>
      </c>
      <c r="G10" s="13">
        <f>Inputs!$C$10*Inputs!$C$77*Inputs!$C$86</f>
        <v/>
      </c>
      <c r="I10" s="13">
        <f>Inputs!$C$10*Inputs!$C$78</f>
        <v/>
      </c>
      <c r="J10" s="13">
        <f>Inputs!$C$10*Inputs!$C$78</f>
        <v/>
      </c>
      <c r="K10" s="13">
        <f>Inputs!$C$10*Inputs!$C$78</f>
        <v/>
      </c>
      <c r="L10" s="13">
        <f>Inputs!$C$10*Inputs!$C$78</f>
        <v/>
      </c>
      <c r="M10" s="13">
        <f>Inputs!$C$10*Inputs!$C$78</f>
        <v/>
      </c>
      <c r="N10" s="13">
        <f>Inputs!$C$10*Inputs!$C$78*Inputs!$C$86</f>
        <v/>
      </c>
    </row>
    <row r="11">
      <c r="A11" s="11" t="inlineStr">
        <is>
          <t>Accounts team</t>
        </is>
      </c>
      <c r="B11" s="13">
        <f>Inputs!$C$11*Inputs!$C$79</f>
        <v/>
      </c>
      <c r="C11" s="13">
        <f>Inputs!$C$11*Inputs!$C$79</f>
        <v/>
      </c>
      <c r="D11" s="13">
        <f>Inputs!$C$11*Inputs!$C$79</f>
        <v/>
      </c>
      <c r="E11" s="13">
        <f>Inputs!$C$11*Inputs!$C$79</f>
        <v/>
      </c>
      <c r="F11" s="13">
        <f>Inputs!$C$11*Inputs!$C$79</f>
        <v/>
      </c>
      <c r="G11" s="13">
        <f>Inputs!$C$11*Inputs!$C$79*Inputs!$C$86</f>
        <v/>
      </c>
      <c r="I11" s="13">
        <f>Inputs!$C$11*Inputs!$C$80</f>
        <v/>
      </c>
      <c r="J11" s="13">
        <f>Inputs!$C$11*Inputs!$C$80</f>
        <v/>
      </c>
      <c r="K11" s="13">
        <f>Inputs!$C$11*Inputs!$C$80</f>
        <v/>
      </c>
      <c r="L11" s="13">
        <f>Inputs!$C$11*Inputs!$C$80</f>
        <v/>
      </c>
      <c r="M11" s="13">
        <f>Inputs!$C$11*Inputs!$C$80</f>
        <v/>
      </c>
      <c r="N11" s="13">
        <f>Inputs!$C$11*Inputs!$C$80*Inputs!$C$86</f>
        <v/>
      </c>
    </row>
    <row r="12">
      <c r="A12" s="11" t="inlineStr">
        <is>
          <t>Operations team</t>
        </is>
      </c>
      <c r="B12" s="13">
        <f>Inputs!$C$12*Inputs!$C$81</f>
        <v/>
      </c>
      <c r="C12" s="13">
        <f>Inputs!$C$12*Inputs!$C$81</f>
        <v/>
      </c>
      <c r="D12" s="13">
        <f>Inputs!$C$12*Inputs!$C$81</f>
        <v/>
      </c>
      <c r="E12" s="13">
        <f>Inputs!$C$12*Inputs!$C$81</f>
        <v/>
      </c>
      <c r="F12" s="13">
        <f>Inputs!$C$12*Inputs!$C$81</f>
        <v/>
      </c>
      <c r="G12" s="13">
        <f>Inputs!$C$12*Inputs!$C$81*Inputs!$C$86</f>
        <v/>
      </c>
      <c r="I12" s="13">
        <f>Inputs!$C$12*Inputs!$C$82</f>
        <v/>
      </c>
      <c r="J12" s="13">
        <f>Inputs!$C$12*Inputs!$C$82</f>
        <v/>
      </c>
      <c r="K12" s="13">
        <f>Inputs!$C$12*Inputs!$C$82</f>
        <v/>
      </c>
      <c r="L12" s="13">
        <f>Inputs!$C$12*Inputs!$C$82</f>
        <v/>
      </c>
      <c r="M12" s="13">
        <f>Inputs!$C$12*Inputs!$C$82</f>
        <v/>
      </c>
      <c r="N12" s="13">
        <f>Inputs!$C$12*Inputs!$C$82*Inputs!$C$86</f>
        <v/>
      </c>
    </row>
    <row r="13">
      <c r="A13" s="11" t="inlineStr">
        <is>
          <t>Superadmin (vendor)</t>
        </is>
      </c>
      <c r="B13" s="13">
        <f>Inputs!$C$85*Inputs!$C$83</f>
        <v/>
      </c>
      <c r="C13" s="13">
        <f>Inputs!$C$85*Inputs!$C$83</f>
        <v/>
      </c>
      <c r="D13" s="13">
        <f>Inputs!$C$85*Inputs!$C$83</f>
        <v/>
      </c>
      <c r="E13" s="13">
        <f>Inputs!$C$85*Inputs!$C$83</f>
        <v/>
      </c>
      <c r="F13" s="13">
        <f>Inputs!$C$85*Inputs!$C$83</f>
        <v/>
      </c>
      <c r="G13" s="13">
        <f>0</f>
        <v/>
      </c>
      <c r="I13" s="13">
        <f>Inputs!$C$13*Inputs!$C$84</f>
        <v/>
      </c>
      <c r="J13" s="13">
        <f>Inputs!$C$13*Inputs!$C$84</f>
        <v/>
      </c>
      <c r="K13" s="13">
        <f>Inputs!$C$13*Inputs!$C$84</f>
        <v/>
      </c>
      <c r="L13" s="13">
        <f>Inputs!$C$13*Inputs!$C$84</f>
        <v/>
      </c>
      <c r="M13" s="13">
        <f>Inputs!$C$13*Inputs!$C$84</f>
        <v/>
      </c>
      <c r="N13" s="13">
        <f>0</f>
        <v/>
      </c>
    </row>
    <row r="14">
      <c r="A14" s="32" t="inlineStr">
        <is>
          <t>STAFF SUBTOTAL</t>
        </is>
      </c>
      <c r="B14" s="33">
        <f>SUM(B6:B13)</f>
        <v/>
      </c>
      <c r="C14" s="33">
        <f>SUM(C6:C13)</f>
        <v/>
      </c>
      <c r="D14" s="33">
        <f>SUM(D6:D13)</f>
        <v/>
      </c>
      <c r="E14" s="33">
        <f>SUM(E6:E13)</f>
        <v/>
      </c>
      <c r="F14" s="33">
        <f>SUM(F6:F13)</f>
        <v/>
      </c>
      <c r="G14" s="33">
        <f>SUM(G6:G13)</f>
        <v/>
      </c>
      <c r="I14" s="33">
        <f>SUM(I6:I13)</f>
        <v/>
      </c>
      <c r="J14" s="33">
        <f>SUM(J6:J13)</f>
        <v/>
      </c>
      <c r="K14" s="33">
        <f>SUM(K6:K13)</f>
        <v/>
      </c>
      <c r="L14" s="33">
        <f>SUM(L6:L13)</f>
        <v/>
      </c>
      <c r="M14" s="33">
        <f>SUM(M6:M13)</f>
        <v/>
      </c>
      <c r="N14" s="33">
        <f>SUM(N6:N13)</f>
        <v/>
      </c>
    </row>
    <row r="15">
      <c r="A15" s="11" t="inlineStr">
        <is>
          <t>Assessments (online tests)</t>
        </is>
      </c>
      <c r="B15" s="13">
        <f>0</f>
        <v/>
      </c>
      <c r="C15" s="13">
        <f>'Usage Model'!$B$23*Inputs!$C$90</f>
        <v/>
      </c>
      <c r="D15" s="13">
        <f>0</f>
        <v/>
      </c>
      <c r="E15" s="13">
        <f>0</f>
        <v/>
      </c>
      <c r="F15" s="13">
        <f>0</f>
        <v/>
      </c>
      <c r="G15" s="13">
        <f>0</f>
        <v/>
      </c>
      <c r="I15" s="13">
        <f>0</f>
        <v/>
      </c>
      <c r="J15" s="13">
        <f>'Usage Model'!$B$23*Inputs!$C$91</f>
        <v/>
      </c>
      <c r="K15" s="13">
        <f>0</f>
        <v/>
      </c>
      <c r="L15" s="13">
        <f>0</f>
        <v/>
      </c>
      <c r="M15" s="13">
        <f>0</f>
        <v/>
      </c>
      <c r="N15" s="13">
        <f>0</f>
        <v/>
      </c>
    </row>
    <row r="16">
      <c r="A16" s="11" t="inlineStr">
        <is>
          <t>Assignments</t>
        </is>
      </c>
      <c r="B16" s="13">
        <f>'Usage Model'!$B$24*Inputs!$C$94</f>
        <v/>
      </c>
      <c r="C16" s="13">
        <f>0</f>
        <v/>
      </c>
      <c r="D16" s="13">
        <f>0</f>
        <v/>
      </c>
      <c r="E16" s="13">
        <f>0</f>
        <v/>
      </c>
      <c r="F16" s="13">
        <f>0</f>
        <v/>
      </c>
      <c r="G16" s="13">
        <f>0</f>
        <v/>
      </c>
      <c r="I16" s="13">
        <f>'Usage Model'!$B$24*Inputs!$C$95</f>
        <v/>
      </c>
      <c r="J16" s="13">
        <f>0</f>
        <v/>
      </c>
      <c r="K16" s="13">
        <f>0</f>
        <v/>
      </c>
      <c r="L16" s="13">
        <f>0</f>
        <v/>
      </c>
      <c r="M16" s="13">
        <f>0</f>
        <v/>
      </c>
      <c r="N16" s="13">
        <f>0</f>
        <v/>
      </c>
    </row>
    <row r="17">
      <c r="A17" s="11" t="inlineStr">
        <is>
          <t>Library loans + visits</t>
        </is>
      </c>
      <c r="B17" s="13">
        <f>'Usage Model'!$B$25*Inputs!$C$103</f>
        <v/>
      </c>
      <c r="C17" s="13">
        <f>'Usage Model'!$B$25*Inputs!$C$103</f>
        <v/>
      </c>
      <c r="D17" s="13">
        <f>0</f>
        <v/>
      </c>
      <c r="E17" s="13">
        <f>0</f>
        <v/>
      </c>
      <c r="F17" s="13">
        <f>0</f>
        <v/>
      </c>
      <c r="G17" s="13">
        <f>0</f>
        <v/>
      </c>
      <c r="I17" s="13">
        <f>'Usage Model'!$B$25*Inputs!$C$104+'Usage Model'!$B$26</f>
        <v/>
      </c>
      <c r="J17" s="13">
        <f>'Usage Model'!$B$25*Inputs!$C$104+'Usage Model'!$B$26</f>
        <v/>
      </c>
      <c r="K17" s="13">
        <f>0</f>
        <v/>
      </c>
      <c r="L17" s="13">
        <f>0</f>
        <v/>
      </c>
      <c r="M17" s="13">
        <f>0</f>
        <v/>
      </c>
      <c r="N17" s="13">
        <f>0</f>
        <v/>
      </c>
    </row>
    <row r="18">
      <c r="A18" s="32" t="inlineStr">
        <is>
          <t>EVENTS SUBTOTAL</t>
        </is>
      </c>
      <c r="B18" s="33">
        <f>SUM(B15:B17)</f>
        <v/>
      </c>
      <c r="C18" s="33">
        <f>SUM(C15:C17)</f>
        <v/>
      </c>
      <c r="D18" s="33">
        <f>SUM(D15:D17)</f>
        <v/>
      </c>
      <c r="E18" s="33">
        <f>SUM(E15:E17)</f>
        <v/>
      </c>
      <c r="F18" s="33">
        <f>SUM(F15:F17)</f>
        <v/>
      </c>
      <c r="G18" s="33">
        <f>SUM(G15:G17)</f>
        <v/>
      </c>
      <c r="I18" s="33">
        <f>SUM(I15:I17)</f>
        <v/>
      </c>
      <c r="J18" s="33">
        <f>SUM(J15:J17)</f>
        <v/>
      </c>
      <c r="K18" s="33">
        <f>SUM(K15:K17)</f>
        <v/>
      </c>
      <c r="L18" s="33">
        <f>SUM(L15:L17)</f>
        <v/>
      </c>
      <c r="M18" s="33">
        <f>SUM(M15:M17)</f>
        <v/>
      </c>
      <c r="N18" s="33">
        <f>SUM(N15:N17)</f>
        <v/>
      </c>
    </row>
    <row r="19">
      <c r="A19" s="32" t="inlineStr">
        <is>
          <t>TOTAL per day</t>
        </is>
      </c>
      <c r="B19" s="34">
        <f>B5+B14+B18</f>
        <v/>
      </c>
      <c r="C19" s="34">
        <f>C5+C14+C18</f>
        <v/>
      </c>
      <c r="D19" s="34">
        <f>D5+D14+D18</f>
        <v/>
      </c>
      <c r="E19" s="34">
        <f>E5+E14+E18</f>
        <v/>
      </c>
      <c r="F19" s="34">
        <f>F5+F14+F18</f>
        <v/>
      </c>
      <c r="G19" s="34">
        <f>G5+G14+G18</f>
        <v/>
      </c>
      <c r="I19" s="34">
        <f>I5+I14+I18</f>
        <v/>
      </c>
      <c r="J19" s="34">
        <f>J5+J14+J18</f>
        <v/>
      </c>
      <c r="K19" s="34">
        <f>K5+K14+K18</f>
        <v/>
      </c>
      <c r="L19" s="34">
        <f>L5+L14+L18</f>
        <v/>
      </c>
      <c r="M19" s="34">
        <f>M5+M14+M18</f>
        <v/>
      </c>
      <c r="N19" s="34">
        <f>N5+N14+N18</f>
        <v/>
      </c>
    </row>
    <row r="20">
      <c r="A20" s="32" t="inlineStr">
        <is>
          <t>Free quota covers</t>
        </is>
      </c>
      <c r="B20" s="35">
        <f>IF(B19&gt;0,MIN(1,Inputs!$C$26/B19),1)</f>
        <v/>
      </c>
      <c r="C20" s="35">
        <f>IF(C19&gt;0,MIN(1,Inputs!$C$26/C19),1)</f>
        <v/>
      </c>
      <c r="D20" s="35">
        <f>IF(D19&gt;0,MIN(1,Inputs!$C$26/D19),1)</f>
        <v/>
      </c>
      <c r="E20" s="35">
        <f>IF(E19&gt;0,MIN(1,Inputs!$C$26/E19),1)</f>
        <v/>
      </c>
      <c r="F20" s="35">
        <f>IF(F19&gt;0,MIN(1,Inputs!$C$26/F19),1)</f>
        <v/>
      </c>
      <c r="G20" s="35">
        <f>IF(G19&gt;0,MIN(1,Inputs!$C$26/G19),1)</f>
        <v/>
      </c>
      <c r="I20" s="35">
        <f>IF(I19&gt;0,MIN(1,Inputs!$C$27/I19),1)</f>
        <v/>
      </c>
      <c r="J20" s="35">
        <f>IF(J19&gt;0,MIN(1,Inputs!$C$27/J19),1)</f>
        <v/>
      </c>
      <c r="K20" s="35">
        <f>IF(K19&gt;0,MIN(1,Inputs!$C$27/K19),1)</f>
        <v/>
      </c>
      <c r="L20" s="35">
        <f>IF(L19&gt;0,MIN(1,Inputs!$C$27/L19),1)</f>
        <v/>
      </c>
      <c r="M20" s="35">
        <f>IF(M19&gt;0,MIN(1,Inputs!$C$27/M19),1)</f>
        <v/>
      </c>
      <c r="N20" s="35">
        <f>IF(N19&gt;0,MIN(1,Inputs!$C$27/N19),1)</f>
        <v/>
      </c>
    </row>
    <row r="22">
      <c r="A22" s="3" t="inlineStr">
        <is>
          <t>Event rates</t>
        </is>
      </c>
    </row>
    <row r="23">
      <c r="A23" s="11" t="inlineStr">
        <is>
          <t>Test attempts per IA day</t>
        </is>
      </c>
      <c r="B23" s="36">
        <f>Inputs!$C$6*Inputs!$C$89/Calendar!$C$16</f>
        <v/>
      </c>
    </row>
    <row r="24">
      <c r="A24" s="11" t="inlineStr">
        <is>
          <t>Assignment submissions per teaching day</t>
        </is>
      </c>
      <c r="B24" s="36">
        <f>Inputs!$C$6*Inputs!$C$93/Calendar!$B$16</f>
        <v/>
      </c>
    </row>
    <row r="25">
      <c r="A25" s="11" t="inlineStr">
        <is>
          <t>Library loan cycles per class day</t>
        </is>
      </c>
      <c r="B25" s="36">
        <f>Inputs!$C$6*Inputs!$C$102/(Calendar!$B$16+Calendar!$C$16)</f>
        <v/>
      </c>
    </row>
    <row r="26">
      <c r="A26" s="11" t="inlineStr">
        <is>
          <t>Library visits per class day</t>
        </is>
      </c>
      <c r="B26" s="36">
        <f>Inputs!$C$6*Inputs!$C$105/(Calendar!$B$16+Calendar!$C$16)</f>
        <v/>
      </c>
    </row>
    <row r="28">
      <c r="A28" s="3" t="inlineStr">
        <is>
          <t>B. Month-by-month grid (free quota applied per day; bursts are fully billable because they land on days already over quota)</t>
        </is>
      </c>
    </row>
    <row r="29" ht="42" customHeight="1">
      <c r="A29" s="19" t="inlineStr">
        <is>
          <t>Month</t>
        </is>
      </c>
      <c r="B29" s="19" t="inlineStr">
        <is>
          <t>Teach</t>
        </is>
      </c>
      <c r="C29" s="19" t="inlineStr">
        <is>
          <t>IA</t>
        </is>
      </c>
      <c r="D29" s="19" t="inlineStr">
        <is>
          <t>Uni</t>
        </is>
      </c>
      <c r="E29" s="19" t="inlineStr">
        <is>
          <t>Result</t>
        </is>
      </c>
      <c r="F29" s="19" t="inlineStr">
        <is>
          <t>Office</t>
        </is>
      </c>
      <c r="G29" s="19" t="inlineStr">
        <is>
          <t>Off</t>
        </is>
      </c>
      <c r="H29" s="19" t="inlineStr">
        <is>
          <t>Working days</t>
        </is>
      </c>
      <c r="I29" s="19" t="inlineStr">
        <is>
          <t>Ramp</t>
        </is>
      </c>
      <c r="J29" s="19" t="inlineStr">
        <is>
          <t>Att. reads / load</t>
        </is>
      </c>
      <c r="K29" s="19" t="inlineStr">
        <is>
          <t>Fee collections</t>
        </is>
      </c>
      <c r="L29" s="19" t="inlineStr">
        <is>
          <t>Admissions</t>
        </is>
      </c>
      <c r="M29" s="19" t="inlineStr">
        <is>
          <t>Spread reads / working day</t>
        </is>
      </c>
      <c r="N29" s="19" t="inlineStr">
        <is>
          <t>Spread writes / working day</t>
        </is>
      </c>
      <c r="O29" s="19" t="inlineStr">
        <is>
          <t>Reads/day Teach</t>
        </is>
      </c>
      <c r="P29" s="19" t="inlineStr">
        <is>
          <t>Reads/day IA</t>
        </is>
      </c>
      <c r="Q29" s="19" t="inlineStr">
        <is>
          <t>Reads/day Uni</t>
        </is>
      </c>
      <c r="R29" s="19" t="inlineStr">
        <is>
          <t>Reads/day Result</t>
        </is>
      </c>
      <c r="S29" s="19" t="inlineStr">
        <is>
          <t>Reads/day Office</t>
        </is>
      </c>
      <c r="T29" s="19" t="inlineStr">
        <is>
          <t>Reads/day Off</t>
        </is>
      </c>
      <c r="U29" s="19" t="inlineStr">
        <is>
          <t>Writes/day Teach</t>
        </is>
      </c>
      <c r="V29" s="19" t="inlineStr">
        <is>
          <t>Writes/day IA</t>
        </is>
      </c>
      <c r="W29" s="19" t="inlineStr">
        <is>
          <t>Writes/day Uni</t>
        </is>
      </c>
      <c r="X29" s="19" t="inlineStr">
        <is>
          <t>Writes/day Result</t>
        </is>
      </c>
      <c r="Y29" s="19" t="inlineStr">
        <is>
          <t>Writes/day Office</t>
        </is>
      </c>
      <c r="Z29" s="19" t="inlineStr">
        <is>
          <t>Writes/day Off</t>
        </is>
      </c>
      <c r="AA29" s="19" t="inlineStr">
        <is>
          <t>Burst reads</t>
        </is>
      </c>
      <c r="AB29" s="19" t="inlineStr">
        <is>
          <t>Burst writes</t>
        </is>
      </c>
      <c r="AC29" s="19" t="inlineStr">
        <is>
          <t>TOTAL reads</t>
        </is>
      </c>
      <c r="AD29" s="19" t="inlineStr">
        <is>
          <t>TOTAL writes</t>
        </is>
      </c>
      <c r="AE29" s="19" t="inlineStr">
        <is>
          <t>BILLABLE reads</t>
        </is>
      </c>
      <c r="AF29" s="19" t="inlineStr">
        <is>
          <t>BILLABLE writes</t>
        </is>
      </c>
      <c r="AG29" s="19" t="inlineStr">
        <is>
          <t>Function invocations</t>
        </is>
      </c>
      <c r="AH29" s="19" t="inlineStr">
        <is>
          <t>Attendance docs added</t>
        </is>
      </c>
      <c r="AI29" s="19" t="inlineStr">
        <is>
          <t>Firestore GiB (cum.)</t>
        </is>
      </c>
      <c r="AJ29" s="19" t="inlineStr">
        <is>
          <t>Files GB added</t>
        </is>
      </c>
      <c r="AK29" s="19" t="inlineStr">
        <is>
          <t>Files GB (cum.)</t>
        </is>
      </c>
      <c r="AL29" s="19" t="inlineStr">
        <is>
          <t>Downloads GB</t>
        </is>
      </c>
      <c r="AM29" s="19" t="inlineStr">
        <is>
          <t>Hosting GB</t>
        </is>
      </c>
      <c r="AN29" s="19" t="inlineStr">
        <is>
          <t>Peak reads / day</t>
        </is>
      </c>
    </row>
    <row r="30">
      <c r="A30" s="13">
        <f>Calendar!A4</f>
        <v/>
      </c>
      <c r="B30" s="13">
        <f>Calendar!B4</f>
        <v/>
      </c>
      <c r="C30" s="13">
        <f>Calendar!C4</f>
        <v/>
      </c>
      <c r="D30" s="13">
        <f>Calendar!D4</f>
        <v/>
      </c>
      <c r="E30" s="13">
        <f>Calendar!E4</f>
        <v/>
      </c>
      <c r="F30" s="13">
        <f>Calendar!F4</f>
        <v/>
      </c>
      <c r="G30" s="13">
        <f>Calendar!G4</f>
        <v/>
      </c>
      <c r="H30" s="13">
        <f>Calendar!H4</f>
        <v/>
      </c>
      <c r="I30" s="18">
        <f>Calendar!J4</f>
        <v/>
      </c>
      <c r="J30" s="13">
        <f>Inputs!$C$50*I30</f>
        <v/>
      </c>
      <c r="K30" s="13">
        <f>Inputs!$C$98*Calendar!K4</f>
        <v/>
      </c>
      <c r="L30" s="13">
        <f>Inputs!$C$20*Calendar!L4</f>
        <v/>
      </c>
      <c r="M30" s="13">
        <f>IF(H30&gt;0,(K30*Inputs!$C$99+L30*Inputs!$C$109)/H30,0)</f>
        <v/>
      </c>
      <c r="N30" s="13">
        <f>IF(H30&gt;0,(K30*Inputs!$C$100+L30*Inputs!$C$110)/H30,0)</f>
        <v/>
      </c>
      <c r="O30" s="13">
        <f>Inputs!$C$6*Inputs!$C$42*(Inputs!$C$47*(Inputs!$C$49+J30)+Inputs!$C$51)+B$14+B$18+M30</f>
        <v/>
      </c>
      <c r="P30" s="13">
        <f>Inputs!$C$6*Inputs!$C$43*(Inputs!$C$47*(Inputs!$C$49+J30)+Inputs!$C$51)+C$14+C$18+M30</f>
        <v/>
      </c>
      <c r="Q30" s="13">
        <f>Inputs!$C$6*Inputs!$C$44*(Inputs!$C$48*(Inputs!$C$49+J30)+Inputs!$C$52)+D$14+D$18+M30</f>
        <v/>
      </c>
      <c r="R30" s="13">
        <f>Inputs!$C$6*Inputs!$C$45*(Inputs!$C$48*(Inputs!$C$49+J30)+Inputs!$C$53)+E$14+E$18+M30</f>
        <v/>
      </c>
      <c r="S30" s="13">
        <f>Inputs!$C$6*Inputs!$C$46*(Inputs!$C$48*(Inputs!$C$49+J30)+Inputs!$C$53)+F$14+F$18+M30</f>
        <v/>
      </c>
      <c r="T30" s="13">
        <f>Inputs!$C$6*Inputs!$C$46*(Inputs!$C$48*(Inputs!$C$49+J30)+Inputs!$C$53)+G$14+G$18</f>
        <v/>
      </c>
      <c r="U30" s="13">
        <f>Inputs!$C$6*Inputs!$C$42*Inputs!$C$54+I$14+I$18+N30</f>
        <v/>
      </c>
      <c r="V30" s="13">
        <f>Inputs!$C$6*Inputs!$C$43*Inputs!$C$54+J$14+J$18+N30</f>
        <v/>
      </c>
      <c r="W30" s="13">
        <f>Inputs!$C$6*Inputs!$C$44*Inputs!$C$55+K$14+K$18+N30</f>
        <v/>
      </c>
      <c r="X30" s="13">
        <f>Inputs!$C$6*Inputs!$C$45*Inputs!$C$55+L$14+L$18+N30</f>
        <v/>
      </c>
      <c r="Y30" s="13">
        <f>Inputs!$C$6*Inputs!$C$46*Inputs!$C$55+M$14+M$18+N30</f>
        <v/>
      </c>
      <c r="Z30" s="13">
        <f>Inputs!$C$6*Inputs!$C$46*Inputs!$C$55+N$14+N$18</f>
        <v/>
      </c>
      <c r="AA30" s="13">
        <f>Calendar!M4*Inputs!$C$6+Calendar!E4*Inputs!$C$6+Calendar!Q4*Inputs!$C$112+Inputs!$C$6*Inputs!$C$106/12+Inputs!$C$108*Inputs!$C$107/12</f>
        <v/>
      </c>
      <c r="AB30" s="13">
        <f>Calendar!M4*Inputs!$C$6*Inputs!$C$101+Calendar!N4*Inputs!$C$6+Calendar!O4*Inputs!$C$113+Calendar!E4*Inputs!$C$6+Calendar!Q4*Inputs!$C$19*Inputs!$C$111+L30</f>
        <v/>
      </c>
      <c r="AC30" s="37">
        <f>B30*O30+C30*P30+D30*Q30+E30*R30+F30*S30+G30*T30+AA30</f>
        <v/>
      </c>
      <c r="AD30" s="37">
        <f>B30*U30+C30*V30+D30*W30+E30*X30+F30*Y30+G30*Z30+AB30</f>
        <v/>
      </c>
      <c r="AE30" s="37">
        <f>B30*MAX(0,O30-Inputs!$C$26)+C30*MAX(0,P30-Inputs!$C$26)+D30*MAX(0,Q30-Inputs!$C$26)+E30*MAX(0,R30-Inputs!$C$26)+F30*MAX(0,S30-Inputs!$C$26)+G30*MAX(0,T30-Inputs!$C$26)+AA30</f>
        <v/>
      </c>
      <c r="AF30" s="37">
        <f>B30*MAX(0,U30-Inputs!$C$27)+C30*MAX(0,V30-Inputs!$C$27)+D30*MAX(0,W30-Inputs!$C$27)+E30*MAX(0,X30-Inputs!$C$27)+F30*MAX(0,Y30-Inputs!$C$27)+G30*MAX(0,Z30-Inputs!$C$27)+AB30</f>
        <v/>
      </c>
      <c r="AG30" s="13">
        <f>Inputs!$C$6*Inputs!$C$42*Inputs!$C$47*Inputs!$C$56*B30+(Inputs!$C$6*Inputs!$C$43*Inputs!$C$47*Inputs!$C$56+'Usage Model'!$B$23*Inputs!$C$92)*C30+Inputs!$C$6*Inputs!$C$44*Inputs!$C$48*Inputs!$C$56*D30+Inputs!$C$6*Inputs!$C$45*Inputs!$C$48*Inputs!$C$56*E30+Inputs!$C$6*Inputs!$C$46*Inputs!$C$48*Inputs!$C$56*(F30+G30)+'Usage Model'!$B$24*Inputs!$C$96*B30</f>
        <v/>
      </c>
      <c r="AH30" s="13">
        <f>Inputs!$C$18*Inputs!$C$15*(B30+C30*Inputs!$C$76)</f>
        <v/>
      </c>
      <c r="AI30" s="18">
        <f>Inputs!$C$124+AH30*Inputs!$C$118/1048576+('Usage Model'!$B$26*(B30+C30)*0.5+'Usage Model'!$B$25*(B30+C30))/1048576+'Usage Model'!$B$23*C30*Inputs!$C$119/1048576+0.05</f>
        <v/>
      </c>
      <c r="AJ30" s="18">
        <f>'Usage Model'!$B$24*B30*Inputs!$C$97/1024+(Calendar!M4+Calendar!P4)*Inputs!$C$6*Inputs!$C$117/1048576+L30*3/1024+Inputs!$C$125+Inputs!$C$126</f>
        <v/>
      </c>
      <c r="AK30" s="18">
        <f>0+AJ30</f>
        <v/>
      </c>
      <c r="AL30" s="18">
        <f>(Inputs!$C$6*Inputs!$C$116*Inputs!$C$115/1024)*(B30+C30)/(Calendar!$B$16+Calendar!$C$16)+'Usage Model'!$B$24*B30*Inputs!$C$97/1024+(Calendar!M4+Calendar!P4)*Inputs!$C$6*Inputs!$C$117/1048576*2</f>
        <v/>
      </c>
      <c r="AM30" s="18">
        <f>Inputs!$C$14*Inputs!$C$120*Inputs!$C$121/1024+(Inputs!$C$6*Inputs!$C$123+Inputs!$C$7)*Inputs!$C$122*30/1048576</f>
        <v/>
      </c>
      <c r="AN30" s="13">
        <f>MAX(O30:T30)</f>
        <v/>
      </c>
    </row>
    <row r="31">
      <c r="A31" s="13">
        <f>Calendar!A5</f>
        <v/>
      </c>
      <c r="B31" s="13">
        <f>Calendar!B5</f>
        <v/>
      </c>
      <c r="C31" s="13">
        <f>Calendar!C5</f>
        <v/>
      </c>
      <c r="D31" s="13">
        <f>Calendar!D5</f>
        <v/>
      </c>
      <c r="E31" s="13">
        <f>Calendar!E5</f>
        <v/>
      </c>
      <c r="F31" s="13">
        <f>Calendar!F5</f>
        <v/>
      </c>
      <c r="G31" s="13">
        <f>Calendar!G5</f>
        <v/>
      </c>
      <c r="H31" s="13">
        <f>Calendar!H5</f>
        <v/>
      </c>
      <c r="I31" s="18">
        <f>Calendar!J5</f>
        <v/>
      </c>
      <c r="J31" s="13">
        <f>Inputs!$C$50*I31</f>
        <v/>
      </c>
      <c r="K31" s="13">
        <f>Inputs!$C$98*Calendar!K5</f>
        <v/>
      </c>
      <c r="L31" s="13">
        <f>Inputs!$C$20*Calendar!L5</f>
        <v/>
      </c>
      <c r="M31" s="13">
        <f>IF(H31&gt;0,(K31*Inputs!$C$99+L31*Inputs!$C$109)/H31,0)</f>
        <v/>
      </c>
      <c r="N31" s="13">
        <f>IF(H31&gt;0,(K31*Inputs!$C$100+L31*Inputs!$C$110)/H31,0)</f>
        <v/>
      </c>
      <c r="O31" s="13">
        <f>Inputs!$C$6*Inputs!$C$42*(Inputs!$C$47*(Inputs!$C$49+J31)+Inputs!$C$51)+B$14+B$18+M31</f>
        <v/>
      </c>
      <c r="P31" s="13">
        <f>Inputs!$C$6*Inputs!$C$43*(Inputs!$C$47*(Inputs!$C$49+J31)+Inputs!$C$51)+C$14+C$18+M31</f>
        <v/>
      </c>
      <c r="Q31" s="13">
        <f>Inputs!$C$6*Inputs!$C$44*(Inputs!$C$48*(Inputs!$C$49+J31)+Inputs!$C$52)+D$14+D$18+M31</f>
        <v/>
      </c>
      <c r="R31" s="13">
        <f>Inputs!$C$6*Inputs!$C$45*(Inputs!$C$48*(Inputs!$C$49+J31)+Inputs!$C$53)+E$14+E$18+M31</f>
        <v/>
      </c>
      <c r="S31" s="13">
        <f>Inputs!$C$6*Inputs!$C$46*(Inputs!$C$48*(Inputs!$C$49+J31)+Inputs!$C$53)+F$14+F$18+M31</f>
        <v/>
      </c>
      <c r="T31" s="13">
        <f>Inputs!$C$6*Inputs!$C$46*(Inputs!$C$48*(Inputs!$C$49+J31)+Inputs!$C$53)+G$14+G$18</f>
        <v/>
      </c>
      <c r="U31" s="13">
        <f>Inputs!$C$6*Inputs!$C$42*Inputs!$C$54+I$14+I$18+N31</f>
        <v/>
      </c>
      <c r="V31" s="13">
        <f>Inputs!$C$6*Inputs!$C$43*Inputs!$C$54+J$14+J$18+N31</f>
        <v/>
      </c>
      <c r="W31" s="13">
        <f>Inputs!$C$6*Inputs!$C$44*Inputs!$C$55+K$14+K$18+N31</f>
        <v/>
      </c>
      <c r="X31" s="13">
        <f>Inputs!$C$6*Inputs!$C$45*Inputs!$C$55+L$14+L$18+N31</f>
        <v/>
      </c>
      <c r="Y31" s="13">
        <f>Inputs!$C$6*Inputs!$C$46*Inputs!$C$55+M$14+M$18+N31</f>
        <v/>
      </c>
      <c r="Z31" s="13">
        <f>Inputs!$C$6*Inputs!$C$46*Inputs!$C$55+N$14+N$18</f>
        <v/>
      </c>
      <c r="AA31" s="13">
        <f>Calendar!M5*Inputs!$C$6+Calendar!E5*Inputs!$C$6+Calendar!Q5*Inputs!$C$112+Inputs!$C$6*Inputs!$C$106/12+Inputs!$C$108*Inputs!$C$107/12</f>
        <v/>
      </c>
      <c r="AB31" s="13">
        <f>Calendar!M5*Inputs!$C$6*Inputs!$C$101+Calendar!N5*Inputs!$C$6+Calendar!O5*Inputs!$C$113+Calendar!E5*Inputs!$C$6+Calendar!Q5*Inputs!$C$19*Inputs!$C$111+L31</f>
        <v/>
      </c>
      <c r="AC31" s="37">
        <f>B31*O31+C31*P31+D31*Q31+E31*R31+F31*S31+G31*T31+AA31</f>
        <v/>
      </c>
      <c r="AD31" s="37">
        <f>B31*U31+C31*V31+D31*W31+E31*X31+F31*Y31+G31*Z31+AB31</f>
        <v/>
      </c>
      <c r="AE31" s="37">
        <f>B31*MAX(0,O31-Inputs!$C$26)+C31*MAX(0,P31-Inputs!$C$26)+D31*MAX(0,Q31-Inputs!$C$26)+E31*MAX(0,R31-Inputs!$C$26)+F31*MAX(0,S31-Inputs!$C$26)+G31*MAX(0,T31-Inputs!$C$26)+AA31</f>
        <v/>
      </c>
      <c r="AF31" s="37">
        <f>B31*MAX(0,U31-Inputs!$C$27)+C31*MAX(0,V31-Inputs!$C$27)+D31*MAX(0,W31-Inputs!$C$27)+E31*MAX(0,X31-Inputs!$C$27)+F31*MAX(0,Y31-Inputs!$C$27)+G31*MAX(0,Z31-Inputs!$C$27)+AB31</f>
        <v/>
      </c>
      <c r="AG31" s="13">
        <f>Inputs!$C$6*Inputs!$C$42*Inputs!$C$47*Inputs!$C$56*B31+(Inputs!$C$6*Inputs!$C$43*Inputs!$C$47*Inputs!$C$56+'Usage Model'!$B$23*Inputs!$C$92)*C31+Inputs!$C$6*Inputs!$C$44*Inputs!$C$48*Inputs!$C$56*D31+Inputs!$C$6*Inputs!$C$45*Inputs!$C$48*Inputs!$C$56*E31+Inputs!$C$6*Inputs!$C$46*Inputs!$C$48*Inputs!$C$56*(F31+G31)+'Usage Model'!$B$24*Inputs!$C$96*B31</f>
        <v/>
      </c>
      <c r="AH31" s="13">
        <f>Inputs!$C$18*Inputs!$C$15*(B31+C31*Inputs!$C$76)</f>
        <v/>
      </c>
      <c r="AI31" s="18">
        <f>AI30+AH31*Inputs!$C$118/1048576+('Usage Model'!$B$26*(B31+C31)*0.5+'Usage Model'!$B$25*(B31+C31))/1048576+'Usage Model'!$B$23*C31*Inputs!$C$119/1048576+0.05</f>
        <v/>
      </c>
      <c r="AJ31" s="18">
        <f>'Usage Model'!$B$24*B31*Inputs!$C$97/1024+(Calendar!M5+Calendar!P5)*Inputs!$C$6*Inputs!$C$117/1048576+L31*3/1024</f>
        <v/>
      </c>
      <c r="AK31" s="18">
        <f>AK30+AJ31</f>
        <v/>
      </c>
      <c r="AL31" s="18">
        <f>(Inputs!$C$6*Inputs!$C$116*Inputs!$C$115/1024)*(B31+C31)/(Calendar!$B$16+Calendar!$C$16)+'Usage Model'!$B$24*B31*Inputs!$C$97/1024+(Calendar!M5+Calendar!P5)*Inputs!$C$6*Inputs!$C$117/1048576*2</f>
        <v/>
      </c>
      <c r="AM31" s="18">
        <f>Inputs!$C$14*Inputs!$C$120*Inputs!$C$121/1024+(Inputs!$C$6*Inputs!$C$123+Inputs!$C$7)*Inputs!$C$122*30/1048576</f>
        <v/>
      </c>
      <c r="AN31" s="13">
        <f>MAX(O31:T31)</f>
        <v/>
      </c>
    </row>
    <row r="32">
      <c r="A32" s="13">
        <f>Calendar!A6</f>
        <v/>
      </c>
      <c r="B32" s="13">
        <f>Calendar!B6</f>
        <v/>
      </c>
      <c r="C32" s="13">
        <f>Calendar!C6</f>
        <v/>
      </c>
      <c r="D32" s="13">
        <f>Calendar!D6</f>
        <v/>
      </c>
      <c r="E32" s="13">
        <f>Calendar!E6</f>
        <v/>
      </c>
      <c r="F32" s="13">
        <f>Calendar!F6</f>
        <v/>
      </c>
      <c r="G32" s="13">
        <f>Calendar!G6</f>
        <v/>
      </c>
      <c r="H32" s="13">
        <f>Calendar!H6</f>
        <v/>
      </c>
      <c r="I32" s="18">
        <f>Calendar!J6</f>
        <v/>
      </c>
      <c r="J32" s="13">
        <f>Inputs!$C$50*I32</f>
        <v/>
      </c>
      <c r="K32" s="13">
        <f>Inputs!$C$98*Calendar!K6</f>
        <v/>
      </c>
      <c r="L32" s="13">
        <f>Inputs!$C$20*Calendar!L6</f>
        <v/>
      </c>
      <c r="M32" s="13">
        <f>IF(H32&gt;0,(K32*Inputs!$C$99+L32*Inputs!$C$109)/H32,0)</f>
        <v/>
      </c>
      <c r="N32" s="13">
        <f>IF(H32&gt;0,(K32*Inputs!$C$100+L32*Inputs!$C$110)/H32,0)</f>
        <v/>
      </c>
      <c r="O32" s="13">
        <f>Inputs!$C$6*Inputs!$C$42*(Inputs!$C$47*(Inputs!$C$49+J32)+Inputs!$C$51)+B$14+B$18+M32</f>
        <v/>
      </c>
      <c r="P32" s="13">
        <f>Inputs!$C$6*Inputs!$C$43*(Inputs!$C$47*(Inputs!$C$49+J32)+Inputs!$C$51)+C$14+C$18+M32</f>
        <v/>
      </c>
      <c r="Q32" s="13">
        <f>Inputs!$C$6*Inputs!$C$44*(Inputs!$C$48*(Inputs!$C$49+J32)+Inputs!$C$52)+D$14+D$18+M32</f>
        <v/>
      </c>
      <c r="R32" s="13">
        <f>Inputs!$C$6*Inputs!$C$45*(Inputs!$C$48*(Inputs!$C$49+J32)+Inputs!$C$53)+E$14+E$18+M32</f>
        <v/>
      </c>
      <c r="S32" s="13">
        <f>Inputs!$C$6*Inputs!$C$46*(Inputs!$C$48*(Inputs!$C$49+J32)+Inputs!$C$53)+F$14+F$18+M32</f>
        <v/>
      </c>
      <c r="T32" s="13">
        <f>Inputs!$C$6*Inputs!$C$46*(Inputs!$C$48*(Inputs!$C$49+J32)+Inputs!$C$53)+G$14+G$18</f>
        <v/>
      </c>
      <c r="U32" s="13">
        <f>Inputs!$C$6*Inputs!$C$42*Inputs!$C$54+I$14+I$18+N32</f>
        <v/>
      </c>
      <c r="V32" s="13">
        <f>Inputs!$C$6*Inputs!$C$43*Inputs!$C$54+J$14+J$18+N32</f>
        <v/>
      </c>
      <c r="W32" s="13">
        <f>Inputs!$C$6*Inputs!$C$44*Inputs!$C$55+K$14+K$18+N32</f>
        <v/>
      </c>
      <c r="X32" s="13">
        <f>Inputs!$C$6*Inputs!$C$45*Inputs!$C$55+L$14+L$18+N32</f>
        <v/>
      </c>
      <c r="Y32" s="13">
        <f>Inputs!$C$6*Inputs!$C$46*Inputs!$C$55+M$14+M$18+N32</f>
        <v/>
      </c>
      <c r="Z32" s="13">
        <f>Inputs!$C$6*Inputs!$C$46*Inputs!$C$55+N$14+N$18</f>
        <v/>
      </c>
      <c r="AA32" s="13">
        <f>Calendar!M6*Inputs!$C$6+Calendar!E6*Inputs!$C$6+Calendar!Q6*Inputs!$C$112+Inputs!$C$6*Inputs!$C$106/12+Inputs!$C$108*Inputs!$C$107/12</f>
        <v/>
      </c>
      <c r="AB32" s="13">
        <f>Calendar!M6*Inputs!$C$6*Inputs!$C$101+Calendar!N6*Inputs!$C$6+Calendar!O6*Inputs!$C$113+Calendar!E6*Inputs!$C$6+Calendar!Q6*Inputs!$C$19*Inputs!$C$111+L32</f>
        <v/>
      </c>
      <c r="AC32" s="37">
        <f>B32*O32+C32*P32+D32*Q32+E32*R32+F32*S32+G32*T32+AA32</f>
        <v/>
      </c>
      <c r="AD32" s="37">
        <f>B32*U32+C32*V32+D32*W32+E32*X32+F32*Y32+G32*Z32+AB32</f>
        <v/>
      </c>
      <c r="AE32" s="37">
        <f>B32*MAX(0,O32-Inputs!$C$26)+C32*MAX(0,P32-Inputs!$C$26)+D32*MAX(0,Q32-Inputs!$C$26)+E32*MAX(0,R32-Inputs!$C$26)+F32*MAX(0,S32-Inputs!$C$26)+G32*MAX(0,T32-Inputs!$C$26)+AA32</f>
        <v/>
      </c>
      <c r="AF32" s="37">
        <f>B32*MAX(0,U32-Inputs!$C$27)+C32*MAX(0,V32-Inputs!$C$27)+D32*MAX(0,W32-Inputs!$C$27)+E32*MAX(0,X32-Inputs!$C$27)+F32*MAX(0,Y32-Inputs!$C$27)+G32*MAX(0,Z32-Inputs!$C$27)+AB32</f>
        <v/>
      </c>
      <c r="AG32" s="13">
        <f>Inputs!$C$6*Inputs!$C$42*Inputs!$C$47*Inputs!$C$56*B32+(Inputs!$C$6*Inputs!$C$43*Inputs!$C$47*Inputs!$C$56+'Usage Model'!$B$23*Inputs!$C$92)*C32+Inputs!$C$6*Inputs!$C$44*Inputs!$C$48*Inputs!$C$56*D32+Inputs!$C$6*Inputs!$C$45*Inputs!$C$48*Inputs!$C$56*E32+Inputs!$C$6*Inputs!$C$46*Inputs!$C$48*Inputs!$C$56*(F32+G32)+'Usage Model'!$B$24*Inputs!$C$96*B32</f>
        <v/>
      </c>
      <c r="AH32" s="13">
        <f>Inputs!$C$18*Inputs!$C$15*(B32+C32*Inputs!$C$76)</f>
        <v/>
      </c>
      <c r="AI32" s="18">
        <f>AI31+AH32*Inputs!$C$118/1048576+('Usage Model'!$B$26*(B32+C32)*0.5+'Usage Model'!$B$25*(B32+C32))/1048576+'Usage Model'!$B$23*C32*Inputs!$C$119/1048576+0.05</f>
        <v/>
      </c>
      <c r="AJ32" s="18">
        <f>'Usage Model'!$B$24*B32*Inputs!$C$97/1024+(Calendar!M6+Calendar!P6)*Inputs!$C$6*Inputs!$C$117/1048576+L32*3/1024</f>
        <v/>
      </c>
      <c r="AK32" s="18">
        <f>AK31+AJ32</f>
        <v/>
      </c>
      <c r="AL32" s="18">
        <f>(Inputs!$C$6*Inputs!$C$116*Inputs!$C$115/1024)*(B32+C32)/(Calendar!$B$16+Calendar!$C$16)+'Usage Model'!$B$24*B32*Inputs!$C$97/1024+(Calendar!M6+Calendar!P6)*Inputs!$C$6*Inputs!$C$117/1048576*2</f>
        <v/>
      </c>
      <c r="AM32" s="18">
        <f>Inputs!$C$14*Inputs!$C$120*Inputs!$C$121/1024+(Inputs!$C$6*Inputs!$C$123+Inputs!$C$7)*Inputs!$C$122*30/1048576</f>
        <v/>
      </c>
      <c r="AN32" s="13">
        <f>MAX(O32:T32)</f>
        <v/>
      </c>
    </row>
    <row r="33">
      <c r="A33" s="13">
        <f>Calendar!A7</f>
        <v/>
      </c>
      <c r="B33" s="13">
        <f>Calendar!B7</f>
        <v/>
      </c>
      <c r="C33" s="13">
        <f>Calendar!C7</f>
        <v/>
      </c>
      <c r="D33" s="13">
        <f>Calendar!D7</f>
        <v/>
      </c>
      <c r="E33" s="13">
        <f>Calendar!E7</f>
        <v/>
      </c>
      <c r="F33" s="13">
        <f>Calendar!F7</f>
        <v/>
      </c>
      <c r="G33" s="13">
        <f>Calendar!G7</f>
        <v/>
      </c>
      <c r="H33" s="13">
        <f>Calendar!H7</f>
        <v/>
      </c>
      <c r="I33" s="18">
        <f>Calendar!J7</f>
        <v/>
      </c>
      <c r="J33" s="13">
        <f>Inputs!$C$50*I33</f>
        <v/>
      </c>
      <c r="K33" s="13">
        <f>Inputs!$C$98*Calendar!K7</f>
        <v/>
      </c>
      <c r="L33" s="13">
        <f>Inputs!$C$20*Calendar!L7</f>
        <v/>
      </c>
      <c r="M33" s="13">
        <f>IF(H33&gt;0,(K33*Inputs!$C$99+L33*Inputs!$C$109)/H33,0)</f>
        <v/>
      </c>
      <c r="N33" s="13">
        <f>IF(H33&gt;0,(K33*Inputs!$C$100+L33*Inputs!$C$110)/H33,0)</f>
        <v/>
      </c>
      <c r="O33" s="13">
        <f>Inputs!$C$6*Inputs!$C$42*(Inputs!$C$47*(Inputs!$C$49+J33)+Inputs!$C$51)+B$14+B$18+M33</f>
        <v/>
      </c>
      <c r="P33" s="13">
        <f>Inputs!$C$6*Inputs!$C$43*(Inputs!$C$47*(Inputs!$C$49+J33)+Inputs!$C$51)+C$14+C$18+M33</f>
        <v/>
      </c>
      <c r="Q33" s="13">
        <f>Inputs!$C$6*Inputs!$C$44*(Inputs!$C$48*(Inputs!$C$49+J33)+Inputs!$C$52)+D$14+D$18+M33</f>
        <v/>
      </c>
      <c r="R33" s="13">
        <f>Inputs!$C$6*Inputs!$C$45*(Inputs!$C$48*(Inputs!$C$49+J33)+Inputs!$C$53)+E$14+E$18+M33</f>
        <v/>
      </c>
      <c r="S33" s="13">
        <f>Inputs!$C$6*Inputs!$C$46*(Inputs!$C$48*(Inputs!$C$49+J33)+Inputs!$C$53)+F$14+F$18+M33</f>
        <v/>
      </c>
      <c r="T33" s="13">
        <f>Inputs!$C$6*Inputs!$C$46*(Inputs!$C$48*(Inputs!$C$49+J33)+Inputs!$C$53)+G$14+G$18</f>
        <v/>
      </c>
      <c r="U33" s="13">
        <f>Inputs!$C$6*Inputs!$C$42*Inputs!$C$54+I$14+I$18+N33</f>
        <v/>
      </c>
      <c r="V33" s="13">
        <f>Inputs!$C$6*Inputs!$C$43*Inputs!$C$54+J$14+J$18+N33</f>
        <v/>
      </c>
      <c r="W33" s="13">
        <f>Inputs!$C$6*Inputs!$C$44*Inputs!$C$55+K$14+K$18+N33</f>
        <v/>
      </c>
      <c r="X33" s="13">
        <f>Inputs!$C$6*Inputs!$C$45*Inputs!$C$55+L$14+L$18+N33</f>
        <v/>
      </c>
      <c r="Y33" s="13">
        <f>Inputs!$C$6*Inputs!$C$46*Inputs!$C$55+M$14+M$18+N33</f>
        <v/>
      </c>
      <c r="Z33" s="13">
        <f>Inputs!$C$6*Inputs!$C$46*Inputs!$C$55+N$14+N$18</f>
        <v/>
      </c>
      <c r="AA33" s="13">
        <f>Calendar!M7*Inputs!$C$6+Calendar!E7*Inputs!$C$6+Calendar!Q7*Inputs!$C$112+Inputs!$C$6*Inputs!$C$106/12+Inputs!$C$108*Inputs!$C$107/12</f>
        <v/>
      </c>
      <c r="AB33" s="13">
        <f>Calendar!M7*Inputs!$C$6*Inputs!$C$101+Calendar!N7*Inputs!$C$6+Calendar!O7*Inputs!$C$113+Calendar!E7*Inputs!$C$6+Calendar!Q7*Inputs!$C$19*Inputs!$C$111+L33</f>
        <v/>
      </c>
      <c r="AC33" s="37">
        <f>B33*O33+C33*P33+D33*Q33+E33*R33+F33*S33+G33*T33+AA33</f>
        <v/>
      </c>
      <c r="AD33" s="37">
        <f>B33*U33+C33*V33+D33*W33+E33*X33+F33*Y33+G33*Z33+AB33</f>
        <v/>
      </c>
      <c r="AE33" s="37">
        <f>B33*MAX(0,O33-Inputs!$C$26)+C33*MAX(0,P33-Inputs!$C$26)+D33*MAX(0,Q33-Inputs!$C$26)+E33*MAX(0,R33-Inputs!$C$26)+F33*MAX(0,S33-Inputs!$C$26)+G33*MAX(0,T33-Inputs!$C$26)+AA33</f>
        <v/>
      </c>
      <c r="AF33" s="37">
        <f>B33*MAX(0,U33-Inputs!$C$27)+C33*MAX(0,V33-Inputs!$C$27)+D33*MAX(0,W33-Inputs!$C$27)+E33*MAX(0,X33-Inputs!$C$27)+F33*MAX(0,Y33-Inputs!$C$27)+G33*MAX(0,Z33-Inputs!$C$27)+AB33</f>
        <v/>
      </c>
      <c r="AG33" s="13">
        <f>Inputs!$C$6*Inputs!$C$42*Inputs!$C$47*Inputs!$C$56*B33+(Inputs!$C$6*Inputs!$C$43*Inputs!$C$47*Inputs!$C$56+'Usage Model'!$B$23*Inputs!$C$92)*C33+Inputs!$C$6*Inputs!$C$44*Inputs!$C$48*Inputs!$C$56*D33+Inputs!$C$6*Inputs!$C$45*Inputs!$C$48*Inputs!$C$56*E33+Inputs!$C$6*Inputs!$C$46*Inputs!$C$48*Inputs!$C$56*(F33+G33)+'Usage Model'!$B$24*Inputs!$C$96*B33</f>
        <v/>
      </c>
      <c r="AH33" s="13">
        <f>Inputs!$C$18*Inputs!$C$15*(B33+C33*Inputs!$C$76)</f>
        <v/>
      </c>
      <c r="AI33" s="18">
        <f>AI32+AH33*Inputs!$C$118/1048576+('Usage Model'!$B$26*(B33+C33)*0.5+'Usage Model'!$B$25*(B33+C33))/1048576+'Usage Model'!$B$23*C33*Inputs!$C$119/1048576+0.05</f>
        <v/>
      </c>
      <c r="AJ33" s="18">
        <f>'Usage Model'!$B$24*B33*Inputs!$C$97/1024+(Calendar!M7+Calendar!P7)*Inputs!$C$6*Inputs!$C$117/1048576+L33*3/1024</f>
        <v/>
      </c>
      <c r="AK33" s="18">
        <f>AK32+AJ33</f>
        <v/>
      </c>
      <c r="AL33" s="18">
        <f>(Inputs!$C$6*Inputs!$C$116*Inputs!$C$115/1024)*(B33+C33)/(Calendar!$B$16+Calendar!$C$16)+'Usage Model'!$B$24*B33*Inputs!$C$97/1024+(Calendar!M7+Calendar!P7)*Inputs!$C$6*Inputs!$C$117/1048576*2</f>
        <v/>
      </c>
      <c r="AM33" s="18">
        <f>Inputs!$C$14*Inputs!$C$120*Inputs!$C$121/1024+(Inputs!$C$6*Inputs!$C$123+Inputs!$C$7)*Inputs!$C$122*30/1048576</f>
        <v/>
      </c>
      <c r="AN33" s="13">
        <f>MAX(O33:T33)</f>
        <v/>
      </c>
    </row>
    <row r="34">
      <c r="A34" s="13">
        <f>Calendar!A8</f>
        <v/>
      </c>
      <c r="B34" s="13">
        <f>Calendar!B8</f>
        <v/>
      </c>
      <c r="C34" s="13">
        <f>Calendar!C8</f>
        <v/>
      </c>
      <c r="D34" s="13">
        <f>Calendar!D8</f>
        <v/>
      </c>
      <c r="E34" s="13">
        <f>Calendar!E8</f>
        <v/>
      </c>
      <c r="F34" s="13">
        <f>Calendar!F8</f>
        <v/>
      </c>
      <c r="G34" s="13">
        <f>Calendar!G8</f>
        <v/>
      </c>
      <c r="H34" s="13">
        <f>Calendar!H8</f>
        <v/>
      </c>
      <c r="I34" s="18">
        <f>Calendar!J8</f>
        <v/>
      </c>
      <c r="J34" s="13">
        <f>Inputs!$C$50*I34</f>
        <v/>
      </c>
      <c r="K34" s="13">
        <f>Inputs!$C$98*Calendar!K8</f>
        <v/>
      </c>
      <c r="L34" s="13">
        <f>Inputs!$C$20*Calendar!L8</f>
        <v/>
      </c>
      <c r="M34" s="13">
        <f>IF(H34&gt;0,(K34*Inputs!$C$99+L34*Inputs!$C$109)/H34,0)</f>
        <v/>
      </c>
      <c r="N34" s="13">
        <f>IF(H34&gt;0,(K34*Inputs!$C$100+L34*Inputs!$C$110)/H34,0)</f>
        <v/>
      </c>
      <c r="O34" s="13">
        <f>Inputs!$C$6*Inputs!$C$42*(Inputs!$C$47*(Inputs!$C$49+J34)+Inputs!$C$51)+B$14+B$18+M34</f>
        <v/>
      </c>
      <c r="P34" s="13">
        <f>Inputs!$C$6*Inputs!$C$43*(Inputs!$C$47*(Inputs!$C$49+J34)+Inputs!$C$51)+C$14+C$18+M34</f>
        <v/>
      </c>
      <c r="Q34" s="13">
        <f>Inputs!$C$6*Inputs!$C$44*(Inputs!$C$48*(Inputs!$C$49+J34)+Inputs!$C$52)+D$14+D$18+M34</f>
        <v/>
      </c>
      <c r="R34" s="13">
        <f>Inputs!$C$6*Inputs!$C$45*(Inputs!$C$48*(Inputs!$C$49+J34)+Inputs!$C$53)+E$14+E$18+M34</f>
        <v/>
      </c>
      <c r="S34" s="13">
        <f>Inputs!$C$6*Inputs!$C$46*(Inputs!$C$48*(Inputs!$C$49+J34)+Inputs!$C$53)+F$14+F$18+M34</f>
        <v/>
      </c>
      <c r="T34" s="13">
        <f>Inputs!$C$6*Inputs!$C$46*(Inputs!$C$48*(Inputs!$C$49+J34)+Inputs!$C$53)+G$14+G$18</f>
        <v/>
      </c>
      <c r="U34" s="13">
        <f>Inputs!$C$6*Inputs!$C$42*Inputs!$C$54+I$14+I$18+N34</f>
        <v/>
      </c>
      <c r="V34" s="13">
        <f>Inputs!$C$6*Inputs!$C$43*Inputs!$C$54+J$14+J$18+N34</f>
        <v/>
      </c>
      <c r="W34" s="13">
        <f>Inputs!$C$6*Inputs!$C$44*Inputs!$C$55+K$14+K$18+N34</f>
        <v/>
      </c>
      <c r="X34" s="13">
        <f>Inputs!$C$6*Inputs!$C$45*Inputs!$C$55+L$14+L$18+N34</f>
        <v/>
      </c>
      <c r="Y34" s="13">
        <f>Inputs!$C$6*Inputs!$C$46*Inputs!$C$55+M$14+M$18+N34</f>
        <v/>
      </c>
      <c r="Z34" s="13">
        <f>Inputs!$C$6*Inputs!$C$46*Inputs!$C$55+N$14+N$18</f>
        <v/>
      </c>
      <c r="AA34" s="13">
        <f>Calendar!M8*Inputs!$C$6+Calendar!E8*Inputs!$C$6+Calendar!Q8*Inputs!$C$112+Inputs!$C$6*Inputs!$C$106/12+Inputs!$C$108*Inputs!$C$107/12</f>
        <v/>
      </c>
      <c r="AB34" s="13">
        <f>Calendar!M8*Inputs!$C$6*Inputs!$C$101+Calendar!N8*Inputs!$C$6+Calendar!O8*Inputs!$C$113+Calendar!E8*Inputs!$C$6+Calendar!Q8*Inputs!$C$19*Inputs!$C$111+L34</f>
        <v/>
      </c>
      <c r="AC34" s="37">
        <f>B34*O34+C34*P34+D34*Q34+E34*R34+F34*S34+G34*T34+AA34</f>
        <v/>
      </c>
      <c r="AD34" s="37">
        <f>B34*U34+C34*V34+D34*W34+E34*X34+F34*Y34+G34*Z34+AB34</f>
        <v/>
      </c>
      <c r="AE34" s="37">
        <f>B34*MAX(0,O34-Inputs!$C$26)+C34*MAX(0,P34-Inputs!$C$26)+D34*MAX(0,Q34-Inputs!$C$26)+E34*MAX(0,R34-Inputs!$C$26)+F34*MAX(0,S34-Inputs!$C$26)+G34*MAX(0,T34-Inputs!$C$26)+AA34</f>
        <v/>
      </c>
      <c r="AF34" s="37">
        <f>B34*MAX(0,U34-Inputs!$C$27)+C34*MAX(0,V34-Inputs!$C$27)+D34*MAX(0,W34-Inputs!$C$27)+E34*MAX(0,X34-Inputs!$C$27)+F34*MAX(0,Y34-Inputs!$C$27)+G34*MAX(0,Z34-Inputs!$C$27)+AB34</f>
        <v/>
      </c>
      <c r="AG34" s="13">
        <f>Inputs!$C$6*Inputs!$C$42*Inputs!$C$47*Inputs!$C$56*B34+(Inputs!$C$6*Inputs!$C$43*Inputs!$C$47*Inputs!$C$56+'Usage Model'!$B$23*Inputs!$C$92)*C34+Inputs!$C$6*Inputs!$C$44*Inputs!$C$48*Inputs!$C$56*D34+Inputs!$C$6*Inputs!$C$45*Inputs!$C$48*Inputs!$C$56*E34+Inputs!$C$6*Inputs!$C$46*Inputs!$C$48*Inputs!$C$56*(F34+G34)+'Usage Model'!$B$24*Inputs!$C$96*B34</f>
        <v/>
      </c>
      <c r="AH34" s="13">
        <f>Inputs!$C$18*Inputs!$C$15*(B34+C34*Inputs!$C$76)</f>
        <v/>
      </c>
      <c r="AI34" s="18">
        <f>AI33+AH34*Inputs!$C$118/1048576+('Usage Model'!$B$26*(B34+C34)*0.5+'Usage Model'!$B$25*(B34+C34))/1048576+'Usage Model'!$B$23*C34*Inputs!$C$119/1048576+0.05</f>
        <v/>
      </c>
      <c r="AJ34" s="18">
        <f>'Usage Model'!$B$24*B34*Inputs!$C$97/1024+(Calendar!M8+Calendar!P8)*Inputs!$C$6*Inputs!$C$117/1048576+L34*3/1024</f>
        <v/>
      </c>
      <c r="AK34" s="18">
        <f>AK33+AJ34</f>
        <v/>
      </c>
      <c r="AL34" s="18">
        <f>(Inputs!$C$6*Inputs!$C$116*Inputs!$C$115/1024)*(B34+C34)/(Calendar!$B$16+Calendar!$C$16)+'Usage Model'!$B$24*B34*Inputs!$C$97/1024+(Calendar!M8+Calendar!P8)*Inputs!$C$6*Inputs!$C$117/1048576*2</f>
        <v/>
      </c>
      <c r="AM34" s="18">
        <f>Inputs!$C$14*Inputs!$C$120*Inputs!$C$121/1024+(Inputs!$C$6*Inputs!$C$123+Inputs!$C$7)*Inputs!$C$122*30/1048576</f>
        <v/>
      </c>
      <c r="AN34" s="13">
        <f>MAX(O34:T34)</f>
        <v/>
      </c>
    </row>
    <row r="35">
      <c r="A35" s="13">
        <f>Calendar!A9</f>
        <v/>
      </c>
      <c r="B35" s="13">
        <f>Calendar!B9</f>
        <v/>
      </c>
      <c r="C35" s="13">
        <f>Calendar!C9</f>
        <v/>
      </c>
      <c r="D35" s="13">
        <f>Calendar!D9</f>
        <v/>
      </c>
      <c r="E35" s="13">
        <f>Calendar!E9</f>
        <v/>
      </c>
      <c r="F35" s="13">
        <f>Calendar!F9</f>
        <v/>
      </c>
      <c r="G35" s="13">
        <f>Calendar!G9</f>
        <v/>
      </c>
      <c r="H35" s="13">
        <f>Calendar!H9</f>
        <v/>
      </c>
      <c r="I35" s="18">
        <f>Calendar!J9</f>
        <v/>
      </c>
      <c r="J35" s="13">
        <f>Inputs!$C$50*I35</f>
        <v/>
      </c>
      <c r="K35" s="13">
        <f>Inputs!$C$98*Calendar!K9</f>
        <v/>
      </c>
      <c r="L35" s="13">
        <f>Inputs!$C$20*Calendar!L9</f>
        <v/>
      </c>
      <c r="M35" s="13">
        <f>IF(H35&gt;0,(K35*Inputs!$C$99+L35*Inputs!$C$109)/H35,0)</f>
        <v/>
      </c>
      <c r="N35" s="13">
        <f>IF(H35&gt;0,(K35*Inputs!$C$100+L35*Inputs!$C$110)/H35,0)</f>
        <v/>
      </c>
      <c r="O35" s="13">
        <f>Inputs!$C$6*Inputs!$C$42*(Inputs!$C$47*(Inputs!$C$49+J35)+Inputs!$C$51)+B$14+B$18+M35</f>
        <v/>
      </c>
      <c r="P35" s="13">
        <f>Inputs!$C$6*Inputs!$C$43*(Inputs!$C$47*(Inputs!$C$49+J35)+Inputs!$C$51)+C$14+C$18+M35</f>
        <v/>
      </c>
      <c r="Q35" s="13">
        <f>Inputs!$C$6*Inputs!$C$44*(Inputs!$C$48*(Inputs!$C$49+J35)+Inputs!$C$52)+D$14+D$18+M35</f>
        <v/>
      </c>
      <c r="R35" s="13">
        <f>Inputs!$C$6*Inputs!$C$45*(Inputs!$C$48*(Inputs!$C$49+J35)+Inputs!$C$53)+E$14+E$18+M35</f>
        <v/>
      </c>
      <c r="S35" s="13">
        <f>Inputs!$C$6*Inputs!$C$46*(Inputs!$C$48*(Inputs!$C$49+J35)+Inputs!$C$53)+F$14+F$18+M35</f>
        <v/>
      </c>
      <c r="T35" s="13">
        <f>Inputs!$C$6*Inputs!$C$46*(Inputs!$C$48*(Inputs!$C$49+J35)+Inputs!$C$53)+G$14+G$18</f>
        <v/>
      </c>
      <c r="U35" s="13">
        <f>Inputs!$C$6*Inputs!$C$42*Inputs!$C$54+I$14+I$18+N35</f>
        <v/>
      </c>
      <c r="V35" s="13">
        <f>Inputs!$C$6*Inputs!$C$43*Inputs!$C$54+J$14+J$18+N35</f>
        <v/>
      </c>
      <c r="W35" s="13">
        <f>Inputs!$C$6*Inputs!$C$44*Inputs!$C$55+K$14+K$18+N35</f>
        <v/>
      </c>
      <c r="X35" s="13">
        <f>Inputs!$C$6*Inputs!$C$45*Inputs!$C$55+L$14+L$18+N35</f>
        <v/>
      </c>
      <c r="Y35" s="13">
        <f>Inputs!$C$6*Inputs!$C$46*Inputs!$C$55+M$14+M$18+N35</f>
        <v/>
      </c>
      <c r="Z35" s="13">
        <f>Inputs!$C$6*Inputs!$C$46*Inputs!$C$55+N$14+N$18</f>
        <v/>
      </c>
      <c r="AA35" s="13">
        <f>Calendar!M9*Inputs!$C$6+Calendar!E9*Inputs!$C$6+Calendar!Q9*Inputs!$C$112+Inputs!$C$6*Inputs!$C$106/12+Inputs!$C$108*Inputs!$C$107/12</f>
        <v/>
      </c>
      <c r="AB35" s="13">
        <f>Calendar!M9*Inputs!$C$6*Inputs!$C$101+Calendar!N9*Inputs!$C$6+Calendar!O9*Inputs!$C$113+Calendar!E9*Inputs!$C$6+Calendar!Q9*Inputs!$C$19*Inputs!$C$111+L35</f>
        <v/>
      </c>
      <c r="AC35" s="37">
        <f>B35*O35+C35*P35+D35*Q35+E35*R35+F35*S35+G35*T35+AA35</f>
        <v/>
      </c>
      <c r="AD35" s="37">
        <f>B35*U35+C35*V35+D35*W35+E35*X35+F35*Y35+G35*Z35+AB35</f>
        <v/>
      </c>
      <c r="AE35" s="37">
        <f>B35*MAX(0,O35-Inputs!$C$26)+C35*MAX(0,P35-Inputs!$C$26)+D35*MAX(0,Q35-Inputs!$C$26)+E35*MAX(0,R35-Inputs!$C$26)+F35*MAX(0,S35-Inputs!$C$26)+G35*MAX(0,T35-Inputs!$C$26)+AA35</f>
        <v/>
      </c>
      <c r="AF35" s="37">
        <f>B35*MAX(0,U35-Inputs!$C$27)+C35*MAX(0,V35-Inputs!$C$27)+D35*MAX(0,W35-Inputs!$C$27)+E35*MAX(0,X35-Inputs!$C$27)+F35*MAX(0,Y35-Inputs!$C$27)+G35*MAX(0,Z35-Inputs!$C$27)+AB35</f>
        <v/>
      </c>
      <c r="AG35" s="13">
        <f>Inputs!$C$6*Inputs!$C$42*Inputs!$C$47*Inputs!$C$56*B35+(Inputs!$C$6*Inputs!$C$43*Inputs!$C$47*Inputs!$C$56+'Usage Model'!$B$23*Inputs!$C$92)*C35+Inputs!$C$6*Inputs!$C$44*Inputs!$C$48*Inputs!$C$56*D35+Inputs!$C$6*Inputs!$C$45*Inputs!$C$48*Inputs!$C$56*E35+Inputs!$C$6*Inputs!$C$46*Inputs!$C$48*Inputs!$C$56*(F35+G35)+'Usage Model'!$B$24*Inputs!$C$96*B35</f>
        <v/>
      </c>
      <c r="AH35" s="13">
        <f>Inputs!$C$18*Inputs!$C$15*(B35+C35*Inputs!$C$76)</f>
        <v/>
      </c>
      <c r="AI35" s="18">
        <f>AI34+AH35*Inputs!$C$118/1048576+('Usage Model'!$B$26*(B35+C35)*0.5+'Usage Model'!$B$25*(B35+C35))/1048576+'Usage Model'!$B$23*C35*Inputs!$C$119/1048576+0.05</f>
        <v/>
      </c>
      <c r="AJ35" s="18">
        <f>'Usage Model'!$B$24*B35*Inputs!$C$97/1024+(Calendar!M9+Calendar!P9)*Inputs!$C$6*Inputs!$C$117/1048576+L35*3/1024</f>
        <v/>
      </c>
      <c r="AK35" s="18">
        <f>AK34+AJ35</f>
        <v/>
      </c>
      <c r="AL35" s="18">
        <f>(Inputs!$C$6*Inputs!$C$116*Inputs!$C$115/1024)*(B35+C35)/(Calendar!$B$16+Calendar!$C$16)+'Usage Model'!$B$24*B35*Inputs!$C$97/1024+(Calendar!M9+Calendar!P9)*Inputs!$C$6*Inputs!$C$117/1048576*2</f>
        <v/>
      </c>
      <c r="AM35" s="18">
        <f>Inputs!$C$14*Inputs!$C$120*Inputs!$C$121/1024+(Inputs!$C$6*Inputs!$C$123+Inputs!$C$7)*Inputs!$C$122*30/1048576</f>
        <v/>
      </c>
      <c r="AN35" s="13">
        <f>MAX(O35:T35)</f>
        <v/>
      </c>
    </row>
    <row r="36">
      <c r="A36" s="13">
        <f>Calendar!A10</f>
        <v/>
      </c>
      <c r="B36" s="13">
        <f>Calendar!B10</f>
        <v/>
      </c>
      <c r="C36" s="13">
        <f>Calendar!C10</f>
        <v/>
      </c>
      <c r="D36" s="13">
        <f>Calendar!D10</f>
        <v/>
      </c>
      <c r="E36" s="13">
        <f>Calendar!E10</f>
        <v/>
      </c>
      <c r="F36" s="13">
        <f>Calendar!F10</f>
        <v/>
      </c>
      <c r="G36" s="13">
        <f>Calendar!G10</f>
        <v/>
      </c>
      <c r="H36" s="13">
        <f>Calendar!H10</f>
        <v/>
      </c>
      <c r="I36" s="18">
        <f>Calendar!J10</f>
        <v/>
      </c>
      <c r="J36" s="13">
        <f>Inputs!$C$50*I36</f>
        <v/>
      </c>
      <c r="K36" s="13">
        <f>Inputs!$C$98*Calendar!K10</f>
        <v/>
      </c>
      <c r="L36" s="13">
        <f>Inputs!$C$20*Calendar!L10</f>
        <v/>
      </c>
      <c r="M36" s="13">
        <f>IF(H36&gt;0,(K36*Inputs!$C$99+L36*Inputs!$C$109)/H36,0)</f>
        <v/>
      </c>
      <c r="N36" s="13">
        <f>IF(H36&gt;0,(K36*Inputs!$C$100+L36*Inputs!$C$110)/H36,0)</f>
        <v/>
      </c>
      <c r="O36" s="13">
        <f>Inputs!$C$6*Inputs!$C$42*(Inputs!$C$47*(Inputs!$C$49+J36)+Inputs!$C$51)+B$14+B$18+M36</f>
        <v/>
      </c>
      <c r="P36" s="13">
        <f>Inputs!$C$6*Inputs!$C$43*(Inputs!$C$47*(Inputs!$C$49+J36)+Inputs!$C$51)+C$14+C$18+M36</f>
        <v/>
      </c>
      <c r="Q36" s="13">
        <f>Inputs!$C$6*Inputs!$C$44*(Inputs!$C$48*(Inputs!$C$49+J36)+Inputs!$C$52)+D$14+D$18+M36</f>
        <v/>
      </c>
      <c r="R36" s="13">
        <f>Inputs!$C$6*Inputs!$C$45*(Inputs!$C$48*(Inputs!$C$49+J36)+Inputs!$C$53)+E$14+E$18+M36</f>
        <v/>
      </c>
      <c r="S36" s="13">
        <f>Inputs!$C$6*Inputs!$C$46*(Inputs!$C$48*(Inputs!$C$49+J36)+Inputs!$C$53)+F$14+F$18+M36</f>
        <v/>
      </c>
      <c r="T36" s="13">
        <f>Inputs!$C$6*Inputs!$C$46*(Inputs!$C$48*(Inputs!$C$49+J36)+Inputs!$C$53)+G$14+G$18</f>
        <v/>
      </c>
      <c r="U36" s="13">
        <f>Inputs!$C$6*Inputs!$C$42*Inputs!$C$54+I$14+I$18+N36</f>
        <v/>
      </c>
      <c r="V36" s="13">
        <f>Inputs!$C$6*Inputs!$C$43*Inputs!$C$54+J$14+J$18+N36</f>
        <v/>
      </c>
      <c r="W36" s="13">
        <f>Inputs!$C$6*Inputs!$C$44*Inputs!$C$55+K$14+K$18+N36</f>
        <v/>
      </c>
      <c r="X36" s="13">
        <f>Inputs!$C$6*Inputs!$C$45*Inputs!$C$55+L$14+L$18+N36</f>
        <v/>
      </c>
      <c r="Y36" s="13">
        <f>Inputs!$C$6*Inputs!$C$46*Inputs!$C$55+M$14+M$18+N36</f>
        <v/>
      </c>
      <c r="Z36" s="13">
        <f>Inputs!$C$6*Inputs!$C$46*Inputs!$C$55+N$14+N$18</f>
        <v/>
      </c>
      <c r="AA36" s="13">
        <f>Calendar!M10*Inputs!$C$6+Calendar!E10*Inputs!$C$6+Calendar!Q10*Inputs!$C$112+Inputs!$C$6*Inputs!$C$106/12+Inputs!$C$108*Inputs!$C$107/12</f>
        <v/>
      </c>
      <c r="AB36" s="13">
        <f>Calendar!M10*Inputs!$C$6*Inputs!$C$101+Calendar!N10*Inputs!$C$6+Calendar!O10*Inputs!$C$113+Calendar!E10*Inputs!$C$6+Calendar!Q10*Inputs!$C$19*Inputs!$C$111+L36</f>
        <v/>
      </c>
      <c r="AC36" s="37">
        <f>B36*O36+C36*P36+D36*Q36+E36*R36+F36*S36+G36*T36+AA36</f>
        <v/>
      </c>
      <c r="AD36" s="37">
        <f>B36*U36+C36*V36+D36*W36+E36*X36+F36*Y36+G36*Z36+AB36</f>
        <v/>
      </c>
      <c r="AE36" s="37">
        <f>B36*MAX(0,O36-Inputs!$C$26)+C36*MAX(0,P36-Inputs!$C$26)+D36*MAX(0,Q36-Inputs!$C$26)+E36*MAX(0,R36-Inputs!$C$26)+F36*MAX(0,S36-Inputs!$C$26)+G36*MAX(0,T36-Inputs!$C$26)+AA36</f>
        <v/>
      </c>
      <c r="AF36" s="37">
        <f>B36*MAX(0,U36-Inputs!$C$27)+C36*MAX(0,V36-Inputs!$C$27)+D36*MAX(0,W36-Inputs!$C$27)+E36*MAX(0,X36-Inputs!$C$27)+F36*MAX(0,Y36-Inputs!$C$27)+G36*MAX(0,Z36-Inputs!$C$27)+AB36</f>
        <v/>
      </c>
      <c r="AG36" s="13">
        <f>Inputs!$C$6*Inputs!$C$42*Inputs!$C$47*Inputs!$C$56*B36+(Inputs!$C$6*Inputs!$C$43*Inputs!$C$47*Inputs!$C$56+'Usage Model'!$B$23*Inputs!$C$92)*C36+Inputs!$C$6*Inputs!$C$44*Inputs!$C$48*Inputs!$C$56*D36+Inputs!$C$6*Inputs!$C$45*Inputs!$C$48*Inputs!$C$56*E36+Inputs!$C$6*Inputs!$C$46*Inputs!$C$48*Inputs!$C$56*(F36+G36)+'Usage Model'!$B$24*Inputs!$C$96*B36</f>
        <v/>
      </c>
      <c r="AH36" s="13">
        <f>Inputs!$C$18*Inputs!$C$15*(B36+C36*Inputs!$C$76)</f>
        <v/>
      </c>
      <c r="AI36" s="18">
        <f>AI35+AH36*Inputs!$C$118/1048576+('Usage Model'!$B$26*(B36+C36)*0.5+'Usage Model'!$B$25*(B36+C36))/1048576+'Usage Model'!$B$23*C36*Inputs!$C$119/1048576+0.05</f>
        <v/>
      </c>
      <c r="AJ36" s="18">
        <f>'Usage Model'!$B$24*B36*Inputs!$C$97/1024+(Calendar!M10+Calendar!P10)*Inputs!$C$6*Inputs!$C$117/1048576+L36*3/1024</f>
        <v/>
      </c>
      <c r="AK36" s="18">
        <f>AK35+AJ36</f>
        <v/>
      </c>
      <c r="AL36" s="18">
        <f>(Inputs!$C$6*Inputs!$C$116*Inputs!$C$115/1024)*(B36+C36)/(Calendar!$B$16+Calendar!$C$16)+'Usage Model'!$B$24*B36*Inputs!$C$97/1024+(Calendar!M10+Calendar!P10)*Inputs!$C$6*Inputs!$C$117/1048576*2</f>
        <v/>
      </c>
      <c r="AM36" s="18">
        <f>Inputs!$C$14*Inputs!$C$120*Inputs!$C$121/1024+(Inputs!$C$6*Inputs!$C$123+Inputs!$C$7)*Inputs!$C$122*30/1048576</f>
        <v/>
      </c>
      <c r="AN36" s="13">
        <f>MAX(O36:T36)</f>
        <v/>
      </c>
    </row>
    <row r="37">
      <c r="A37" s="13">
        <f>Calendar!A11</f>
        <v/>
      </c>
      <c r="B37" s="13">
        <f>Calendar!B11</f>
        <v/>
      </c>
      <c r="C37" s="13">
        <f>Calendar!C11</f>
        <v/>
      </c>
      <c r="D37" s="13">
        <f>Calendar!D11</f>
        <v/>
      </c>
      <c r="E37" s="13">
        <f>Calendar!E11</f>
        <v/>
      </c>
      <c r="F37" s="13">
        <f>Calendar!F11</f>
        <v/>
      </c>
      <c r="G37" s="13">
        <f>Calendar!G11</f>
        <v/>
      </c>
      <c r="H37" s="13">
        <f>Calendar!H11</f>
        <v/>
      </c>
      <c r="I37" s="18">
        <f>Calendar!J11</f>
        <v/>
      </c>
      <c r="J37" s="13">
        <f>Inputs!$C$50*I37</f>
        <v/>
      </c>
      <c r="K37" s="13">
        <f>Inputs!$C$98*Calendar!K11</f>
        <v/>
      </c>
      <c r="L37" s="13">
        <f>Inputs!$C$20*Calendar!L11</f>
        <v/>
      </c>
      <c r="M37" s="13">
        <f>IF(H37&gt;0,(K37*Inputs!$C$99+L37*Inputs!$C$109)/H37,0)</f>
        <v/>
      </c>
      <c r="N37" s="13">
        <f>IF(H37&gt;0,(K37*Inputs!$C$100+L37*Inputs!$C$110)/H37,0)</f>
        <v/>
      </c>
      <c r="O37" s="13">
        <f>Inputs!$C$6*Inputs!$C$42*(Inputs!$C$47*(Inputs!$C$49+J37)+Inputs!$C$51)+B$14+B$18+M37</f>
        <v/>
      </c>
      <c r="P37" s="13">
        <f>Inputs!$C$6*Inputs!$C$43*(Inputs!$C$47*(Inputs!$C$49+J37)+Inputs!$C$51)+C$14+C$18+M37</f>
        <v/>
      </c>
      <c r="Q37" s="13">
        <f>Inputs!$C$6*Inputs!$C$44*(Inputs!$C$48*(Inputs!$C$49+J37)+Inputs!$C$52)+D$14+D$18+M37</f>
        <v/>
      </c>
      <c r="R37" s="13">
        <f>Inputs!$C$6*Inputs!$C$45*(Inputs!$C$48*(Inputs!$C$49+J37)+Inputs!$C$53)+E$14+E$18+M37</f>
        <v/>
      </c>
      <c r="S37" s="13">
        <f>Inputs!$C$6*Inputs!$C$46*(Inputs!$C$48*(Inputs!$C$49+J37)+Inputs!$C$53)+F$14+F$18+M37</f>
        <v/>
      </c>
      <c r="T37" s="13">
        <f>Inputs!$C$6*Inputs!$C$46*(Inputs!$C$48*(Inputs!$C$49+J37)+Inputs!$C$53)+G$14+G$18</f>
        <v/>
      </c>
      <c r="U37" s="13">
        <f>Inputs!$C$6*Inputs!$C$42*Inputs!$C$54+I$14+I$18+N37</f>
        <v/>
      </c>
      <c r="V37" s="13">
        <f>Inputs!$C$6*Inputs!$C$43*Inputs!$C$54+J$14+J$18+N37</f>
        <v/>
      </c>
      <c r="W37" s="13">
        <f>Inputs!$C$6*Inputs!$C$44*Inputs!$C$55+K$14+K$18+N37</f>
        <v/>
      </c>
      <c r="X37" s="13">
        <f>Inputs!$C$6*Inputs!$C$45*Inputs!$C$55+L$14+L$18+N37</f>
        <v/>
      </c>
      <c r="Y37" s="13">
        <f>Inputs!$C$6*Inputs!$C$46*Inputs!$C$55+M$14+M$18+N37</f>
        <v/>
      </c>
      <c r="Z37" s="13">
        <f>Inputs!$C$6*Inputs!$C$46*Inputs!$C$55+N$14+N$18</f>
        <v/>
      </c>
      <c r="AA37" s="13">
        <f>Calendar!M11*Inputs!$C$6+Calendar!E11*Inputs!$C$6+Calendar!Q11*Inputs!$C$112+Inputs!$C$6*Inputs!$C$106/12+Inputs!$C$108*Inputs!$C$107/12</f>
        <v/>
      </c>
      <c r="AB37" s="13">
        <f>Calendar!M11*Inputs!$C$6*Inputs!$C$101+Calendar!N11*Inputs!$C$6+Calendar!O11*Inputs!$C$113+Calendar!E11*Inputs!$C$6+Calendar!Q11*Inputs!$C$19*Inputs!$C$111+L37</f>
        <v/>
      </c>
      <c r="AC37" s="37">
        <f>B37*O37+C37*P37+D37*Q37+E37*R37+F37*S37+G37*T37+AA37</f>
        <v/>
      </c>
      <c r="AD37" s="37">
        <f>B37*U37+C37*V37+D37*W37+E37*X37+F37*Y37+G37*Z37+AB37</f>
        <v/>
      </c>
      <c r="AE37" s="37">
        <f>B37*MAX(0,O37-Inputs!$C$26)+C37*MAX(0,P37-Inputs!$C$26)+D37*MAX(0,Q37-Inputs!$C$26)+E37*MAX(0,R37-Inputs!$C$26)+F37*MAX(0,S37-Inputs!$C$26)+G37*MAX(0,T37-Inputs!$C$26)+AA37</f>
        <v/>
      </c>
      <c r="AF37" s="37">
        <f>B37*MAX(0,U37-Inputs!$C$27)+C37*MAX(0,V37-Inputs!$C$27)+D37*MAX(0,W37-Inputs!$C$27)+E37*MAX(0,X37-Inputs!$C$27)+F37*MAX(0,Y37-Inputs!$C$27)+G37*MAX(0,Z37-Inputs!$C$27)+AB37</f>
        <v/>
      </c>
      <c r="AG37" s="13">
        <f>Inputs!$C$6*Inputs!$C$42*Inputs!$C$47*Inputs!$C$56*B37+(Inputs!$C$6*Inputs!$C$43*Inputs!$C$47*Inputs!$C$56+'Usage Model'!$B$23*Inputs!$C$92)*C37+Inputs!$C$6*Inputs!$C$44*Inputs!$C$48*Inputs!$C$56*D37+Inputs!$C$6*Inputs!$C$45*Inputs!$C$48*Inputs!$C$56*E37+Inputs!$C$6*Inputs!$C$46*Inputs!$C$48*Inputs!$C$56*(F37+G37)+'Usage Model'!$B$24*Inputs!$C$96*B37</f>
        <v/>
      </c>
      <c r="AH37" s="13">
        <f>Inputs!$C$18*Inputs!$C$15*(B37+C37*Inputs!$C$76)</f>
        <v/>
      </c>
      <c r="AI37" s="18">
        <f>AI36+AH37*Inputs!$C$118/1048576+('Usage Model'!$B$26*(B37+C37)*0.5+'Usage Model'!$B$25*(B37+C37))/1048576+'Usage Model'!$B$23*C37*Inputs!$C$119/1048576+0.05</f>
        <v/>
      </c>
      <c r="AJ37" s="18">
        <f>'Usage Model'!$B$24*B37*Inputs!$C$97/1024+(Calendar!M11+Calendar!P11)*Inputs!$C$6*Inputs!$C$117/1048576+L37*3/1024</f>
        <v/>
      </c>
      <c r="AK37" s="18">
        <f>AK36+AJ37</f>
        <v/>
      </c>
      <c r="AL37" s="18">
        <f>(Inputs!$C$6*Inputs!$C$116*Inputs!$C$115/1024)*(B37+C37)/(Calendar!$B$16+Calendar!$C$16)+'Usage Model'!$B$24*B37*Inputs!$C$97/1024+(Calendar!M11+Calendar!P11)*Inputs!$C$6*Inputs!$C$117/1048576*2</f>
        <v/>
      </c>
      <c r="AM37" s="18">
        <f>Inputs!$C$14*Inputs!$C$120*Inputs!$C$121/1024+(Inputs!$C$6*Inputs!$C$123+Inputs!$C$7)*Inputs!$C$122*30/1048576</f>
        <v/>
      </c>
      <c r="AN37" s="13">
        <f>MAX(O37:T37)</f>
        <v/>
      </c>
    </row>
    <row r="38">
      <c r="A38" s="13">
        <f>Calendar!A12</f>
        <v/>
      </c>
      <c r="B38" s="13">
        <f>Calendar!B12</f>
        <v/>
      </c>
      <c r="C38" s="13">
        <f>Calendar!C12</f>
        <v/>
      </c>
      <c r="D38" s="13">
        <f>Calendar!D12</f>
        <v/>
      </c>
      <c r="E38" s="13">
        <f>Calendar!E12</f>
        <v/>
      </c>
      <c r="F38" s="13">
        <f>Calendar!F12</f>
        <v/>
      </c>
      <c r="G38" s="13">
        <f>Calendar!G12</f>
        <v/>
      </c>
      <c r="H38" s="13">
        <f>Calendar!H12</f>
        <v/>
      </c>
      <c r="I38" s="18">
        <f>Calendar!J12</f>
        <v/>
      </c>
      <c r="J38" s="13">
        <f>Inputs!$C$50*I38</f>
        <v/>
      </c>
      <c r="K38" s="13">
        <f>Inputs!$C$98*Calendar!K12</f>
        <v/>
      </c>
      <c r="L38" s="13">
        <f>Inputs!$C$20*Calendar!L12</f>
        <v/>
      </c>
      <c r="M38" s="13">
        <f>IF(H38&gt;0,(K38*Inputs!$C$99+L38*Inputs!$C$109)/H38,0)</f>
        <v/>
      </c>
      <c r="N38" s="13">
        <f>IF(H38&gt;0,(K38*Inputs!$C$100+L38*Inputs!$C$110)/H38,0)</f>
        <v/>
      </c>
      <c r="O38" s="13">
        <f>Inputs!$C$6*Inputs!$C$42*(Inputs!$C$47*(Inputs!$C$49+J38)+Inputs!$C$51)+B$14+B$18+M38</f>
        <v/>
      </c>
      <c r="P38" s="13">
        <f>Inputs!$C$6*Inputs!$C$43*(Inputs!$C$47*(Inputs!$C$49+J38)+Inputs!$C$51)+C$14+C$18+M38</f>
        <v/>
      </c>
      <c r="Q38" s="13">
        <f>Inputs!$C$6*Inputs!$C$44*(Inputs!$C$48*(Inputs!$C$49+J38)+Inputs!$C$52)+D$14+D$18+M38</f>
        <v/>
      </c>
      <c r="R38" s="13">
        <f>Inputs!$C$6*Inputs!$C$45*(Inputs!$C$48*(Inputs!$C$49+J38)+Inputs!$C$53)+E$14+E$18+M38</f>
        <v/>
      </c>
      <c r="S38" s="13">
        <f>Inputs!$C$6*Inputs!$C$46*(Inputs!$C$48*(Inputs!$C$49+J38)+Inputs!$C$53)+F$14+F$18+M38</f>
        <v/>
      </c>
      <c r="T38" s="13">
        <f>Inputs!$C$6*Inputs!$C$46*(Inputs!$C$48*(Inputs!$C$49+J38)+Inputs!$C$53)+G$14+G$18</f>
        <v/>
      </c>
      <c r="U38" s="13">
        <f>Inputs!$C$6*Inputs!$C$42*Inputs!$C$54+I$14+I$18+N38</f>
        <v/>
      </c>
      <c r="V38" s="13">
        <f>Inputs!$C$6*Inputs!$C$43*Inputs!$C$54+J$14+J$18+N38</f>
        <v/>
      </c>
      <c r="W38" s="13">
        <f>Inputs!$C$6*Inputs!$C$44*Inputs!$C$55+K$14+K$18+N38</f>
        <v/>
      </c>
      <c r="X38" s="13">
        <f>Inputs!$C$6*Inputs!$C$45*Inputs!$C$55+L$14+L$18+N38</f>
        <v/>
      </c>
      <c r="Y38" s="13">
        <f>Inputs!$C$6*Inputs!$C$46*Inputs!$C$55+M$14+M$18+N38</f>
        <v/>
      </c>
      <c r="Z38" s="13">
        <f>Inputs!$C$6*Inputs!$C$46*Inputs!$C$55+N$14+N$18</f>
        <v/>
      </c>
      <c r="AA38" s="13">
        <f>Calendar!M12*Inputs!$C$6+Calendar!E12*Inputs!$C$6+Calendar!Q12*Inputs!$C$112+Inputs!$C$6*Inputs!$C$106/12+Inputs!$C$108*Inputs!$C$107/12</f>
        <v/>
      </c>
      <c r="AB38" s="13">
        <f>Calendar!M12*Inputs!$C$6*Inputs!$C$101+Calendar!N12*Inputs!$C$6+Calendar!O12*Inputs!$C$113+Calendar!E12*Inputs!$C$6+Calendar!Q12*Inputs!$C$19*Inputs!$C$111+L38</f>
        <v/>
      </c>
      <c r="AC38" s="37">
        <f>B38*O38+C38*P38+D38*Q38+E38*R38+F38*S38+G38*T38+AA38</f>
        <v/>
      </c>
      <c r="AD38" s="37">
        <f>B38*U38+C38*V38+D38*W38+E38*X38+F38*Y38+G38*Z38+AB38</f>
        <v/>
      </c>
      <c r="AE38" s="37">
        <f>B38*MAX(0,O38-Inputs!$C$26)+C38*MAX(0,P38-Inputs!$C$26)+D38*MAX(0,Q38-Inputs!$C$26)+E38*MAX(0,R38-Inputs!$C$26)+F38*MAX(0,S38-Inputs!$C$26)+G38*MAX(0,T38-Inputs!$C$26)+AA38</f>
        <v/>
      </c>
      <c r="AF38" s="37">
        <f>B38*MAX(0,U38-Inputs!$C$27)+C38*MAX(0,V38-Inputs!$C$27)+D38*MAX(0,W38-Inputs!$C$27)+E38*MAX(0,X38-Inputs!$C$27)+F38*MAX(0,Y38-Inputs!$C$27)+G38*MAX(0,Z38-Inputs!$C$27)+AB38</f>
        <v/>
      </c>
      <c r="AG38" s="13">
        <f>Inputs!$C$6*Inputs!$C$42*Inputs!$C$47*Inputs!$C$56*B38+(Inputs!$C$6*Inputs!$C$43*Inputs!$C$47*Inputs!$C$56+'Usage Model'!$B$23*Inputs!$C$92)*C38+Inputs!$C$6*Inputs!$C$44*Inputs!$C$48*Inputs!$C$56*D38+Inputs!$C$6*Inputs!$C$45*Inputs!$C$48*Inputs!$C$56*E38+Inputs!$C$6*Inputs!$C$46*Inputs!$C$48*Inputs!$C$56*(F38+G38)+'Usage Model'!$B$24*Inputs!$C$96*B38</f>
        <v/>
      </c>
      <c r="AH38" s="13">
        <f>Inputs!$C$18*Inputs!$C$15*(B38+C38*Inputs!$C$76)</f>
        <v/>
      </c>
      <c r="AI38" s="18">
        <f>AI37+AH38*Inputs!$C$118/1048576+('Usage Model'!$B$26*(B38+C38)*0.5+'Usage Model'!$B$25*(B38+C38))/1048576+'Usage Model'!$B$23*C38*Inputs!$C$119/1048576+0.05</f>
        <v/>
      </c>
      <c r="AJ38" s="18">
        <f>'Usage Model'!$B$24*B38*Inputs!$C$97/1024+(Calendar!M12+Calendar!P12)*Inputs!$C$6*Inputs!$C$117/1048576+L38*3/1024</f>
        <v/>
      </c>
      <c r="AK38" s="18">
        <f>AK37+AJ38</f>
        <v/>
      </c>
      <c r="AL38" s="18">
        <f>(Inputs!$C$6*Inputs!$C$116*Inputs!$C$115/1024)*(B38+C38)/(Calendar!$B$16+Calendar!$C$16)+'Usage Model'!$B$24*B38*Inputs!$C$97/1024+(Calendar!M12+Calendar!P12)*Inputs!$C$6*Inputs!$C$117/1048576*2</f>
        <v/>
      </c>
      <c r="AM38" s="18">
        <f>Inputs!$C$14*Inputs!$C$120*Inputs!$C$121/1024+(Inputs!$C$6*Inputs!$C$123+Inputs!$C$7)*Inputs!$C$122*30/1048576</f>
        <v/>
      </c>
      <c r="AN38" s="13">
        <f>MAX(O38:T38)</f>
        <v/>
      </c>
    </row>
    <row r="39">
      <c r="A39" s="13">
        <f>Calendar!A13</f>
        <v/>
      </c>
      <c r="B39" s="13">
        <f>Calendar!B13</f>
        <v/>
      </c>
      <c r="C39" s="13">
        <f>Calendar!C13</f>
        <v/>
      </c>
      <c r="D39" s="13">
        <f>Calendar!D13</f>
        <v/>
      </c>
      <c r="E39" s="13">
        <f>Calendar!E13</f>
        <v/>
      </c>
      <c r="F39" s="13">
        <f>Calendar!F13</f>
        <v/>
      </c>
      <c r="G39" s="13">
        <f>Calendar!G13</f>
        <v/>
      </c>
      <c r="H39" s="13">
        <f>Calendar!H13</f>
        <v/>
      </c>
      <c r="I39" s="18">
        <f>Calendar!J13</f>
        <v/>
      </c>
      <c r="J39" s="13">
        <f>Inputs!$C$50*I39</f>
        <v/>
      </c>
      <c r="K39" s="13">
        <f>Inputs!$C$98*Calendar!K13</f>
        <v/>
      </c>
      <c r="L39" s="13">
        <f>Inputs!$C$20*Calendar!L13</f>
        <v/>
      </c>
      <c r="M39" s="13">
        <f>IF(H39&gt;0,(K39*Inputs!$C$99+L39*Inputs!$C$109)/H39,0)</f>
        <v/>
      </c>
      <c r="N39" s="13">
        <f>IF(H39&gt;0,(K39*Inputs!$C$100+L39*Inputs!$C$110)/H39,0)</f>
        <v/>
      </c>
      <c r="O39" s="13">
        <f>Inputs!$C$6*Inputs!$C$42*(Inputs!$C$47*(Inputs!$C$49+J39)+Inputs!$C$51)+B$14+B$18+M39</f>
        <v/>
      </c>
      <c r="P39" s="13">
        <f>Inputs!$C$6*Inputs!$C$43*(Inputs!$C$47*(Inputs!$C$49+J39)+Inputs!$C$51)+C$14+C$18+M39</f>
        <v/>
      </c>
      <c r="Q39" s="13">
        <f>Inputs!$C$6*Inputs!$C$44*(Inputs!$C$48*(Inputs!$C$49+J39)+Inputs!$C$52)+D$14+D$18+M39</f>
        <v/>
      </c>
      <c r="R39" s="13">
        <f>Inputs!$C$6*Inputs!$C$45*(Inputs!$C$48*(Inputs!$C$49+J39)+Inputs!$C$53)+E$14+E$18+M39</f>
        <v/>
      </c>
      <c r="S39" s="13">
        <f>Inputs!$C$6*Inputs!$C$46*(Inputs!$C$48*(Inputs!$C$49+J39)+Inputs!$C$53)+F$14+F$18+M39</f>
        <v/>
      </c>
      <c r="T39" s="13">
        <f>Inputs!$C$6*Inputs!$C$46*(Inputs!$C$48*(Inputs!$C$49+J39)+Inputs!$C$53)+G$14+G$18</f>
        <v/>
      </c>
      <c r="U39" s="13">
        <f>Inputs!$C$6*Inputs!$C$42*Inputs!$C$54+I$14+I$18+N39</f>
        <v/>
      </c>
      <c r="V39" s="13">
        <f>Inputs!$C$6*Inputs!$C$43*Inputs!$C$54+J$14+J$18+N39</f>
        <v/>
      </c>
      <c r="W39" s="13">
        <f>Inputs!$C$6*Inputs!$C$44*Inputs!$C$55+K$14+K$18+N39</f>
        <v/>
      </c>
      <c r="X39" s="13">
        <f>Inputs!$C$6*Inputs!$C$45*Inputs!$C$55+L$14+L$18+N39</f>
        <v/>
      </c>
      <c r="Y39" s="13">
        <f>Inputs!$C$6*Inputs!$C$46*Inputs!$C$55+M$14+M$18+N39</f>
        <v/>
      </c>
      <c r="Z39" s="13">
        <f>Inputs!$C$6*Inputs!$C$46*Inputs!$C$55+N$14+N$18</f>
        <v/>
      </c>
      <c r="AA39" s="13">
        <f>Calendar!M13*Inputs!$C$6+Calendar!E13*Inputs!$C$6+Calendar!Q13*Inputs!$C$112+Inputs!$C$6*Inputs!$C$106/12+Inputs!$C$108*Inputs!$C$107/12</f>
        <v/>
      </c>
      <c r="AB39" s="13">
        <f>Calendar!M13*Inputs!$C$6*Inputs!$C$101+Calendar!N13*Inputs!$C$6+Calendar!O13*Inputs!$C$113+Calendar!E13*Inputs!$C$6+Calendar!Q13*Inputs!$C$19*Inputs!$C$111+L39</f>
        <v/>
      </c>
      <c r="AC39" s="37">
        <f>B39*O39+C39*P39+D39*Q39+E39*R39+F39*S39+G39*T39+AA39</f>
        <v/>
      </c>
      <c r="AD39" s="37">
        <f>B39*U39+C39*V39+D39*W39+E39*X39+F39*Y39+G39*Z39+AB39</f>
        <v/>
      </c>
      <c r="AE39" s="37">
        <f>B39*MAX(0,O39-Inputs!$C$26)+C39*MAX(0,P39-Inputs!$C$26)+D39*MAX(0,Q39-Inputs!$C$26)+E39*MAX(0,R39-Inputs!$C$26)+F39*MAX(0,S39-Inputs!$C$26)+G39*MAX(0,T39-Inputs!$C$26)+AA39</f>
        <v/>
      </c>
      <c r="AF39" s="37">
        <f>B39*MAX(0,U39-Inputs!$C$27)+C39*MAX(0,V39-Inputs!$C$27)+D39*MAX(0,W39-Inputs!$C$27)+E39*MAX(0,X39-Inputs!$C$27)+F39*MAX(0,Y39-Inputs!$C$27)+G39*MAX(0,Z39-Inputs!$C$27)+AB39</f>
        <v/>
      </c>
      <c r="AG39" s="13">
        <f>Inputs!$C$6*Inputs!$C$42*Inputs!$C$47*Inputs!$C$56*B39+(Inputs!$C$6*Inputs!$C$43*Inputs!$C$47*Inputs!$C$56+'Usage Model'!$B$23*Inputs!$C$92)*C39+Inputs!$C$6*Inputs!$C$44*Inputs!$C$48*Inputs!$C$56*D39+Inputs!$C$6*Inputs!$C$45*Inputs!$C$48*Inputs!$C$56*E39+Inputs!$C$6*Inputs!$C$46*Inputs!$C$48*Inputs!$C$56*(F39+G39)+'Usage Model'!$B$24*Inputs!$C$96*B39</f>
        <v/>
      </c>
      <c r="AH39" s="13">
        <f>Inputs!$C$18*Inputs!$C$15*(B39+C39*Inputs!$C$76)</f>
        <v/>
      </c>
      <c r="AI39" s="18">
        <f>AI38+AH39*Inputs!$C$118/1048576+('Usage Model'!$B$26*(B39+C39)*0.5+'Usage Model'!$B$25*(B39+C39))/1048576+'Usage Model'!$B$23*C39*Inputs!$C$119/1048576+0.05</f>
        <v/>
      </c>
      <c r="AJ39" s="18">
        <f>'Usage Model'!$B$24*B39*Inputs!$C$97/1024+(Calendar!M13+Calendar!P13)*Inputs!$C$6*Inputs!$C$117/1048576+L39*3/1024</f>
        <v/>
      </c>
      <c r="AK39" s="18">
        <f>AK38+AJ39</f>
        <v/>
      </c>
      <c r="AL39" s="18">
        <f>(Inputs!$C$6*Inputs!$C$116*Inputs!$C$115/1024)*(B39+C39)/(Calendar!$B$16+Calendar!$C$16)+'Usage Model'!$B$24*B39*Inputs!$C$97/1024+(Calendar!M13+Calendar!P13)*Inputs!$C$6*Inputs!$C$117/1048576*2</f>
        <v/>
      </c>
      <c r="AM39" s="18">
        <f>Inputs!$C$14*Inputs!$C$120*Inputs!$C$121/1024+(Inputs!$C$6*Inputs!$C$123+Inputs!$C$7)*Inputs!$C$122*30/1048576</f>
        <v/>
      </c>
      <c r="AN39" s="13">
        <f>MAX(O39:T39)</f>
        <v/>
      </c>
    </row>
    <row r="40">
      <c r="A40" s="13">
        <f>Calendar!A14</f>
        <v/>
      </c>
      <c r="B40" s="13">
        <f>Calendar!B14</f>
        <v/>
      </c>
      <c r="C40" s="13">
        <f>Calendar!C14</f>
        <v/>
      </c>
      <c r="D40" s="13">
        <f>Calendar!D14</f>
        <v/>
      </c>
      <c r="E40" s="13">
        <f>Calendar!E14</f>
        <v/>
      </c>
      <c r="F40" s="13">
        <f>Calendar!F14</f>
        <v/>
      </c>
      <c r="G40" s="13">
        <f>Calendar!G14</f>
        <v/>
      </c>
      <c r="H40" s="13">
        <f>Calendar!H14</f>
        <v/>
      </c>
      <c r="I40" s="18">
        <f>Calendar!J14</f>
        <v/>
      </c>
      <c r="J40" s="13">
        <f>Inputs!$C$50*I40</f>
        <v/>
      </c>
      <c r="K40" s="13">
        <f>Inputs!$C$98*Calendar!K14</f>
        <v/>
      </c>
      <c r="L40" s="13">
        <f>Inputs!$C$20*Calendar!L14</f>
        <v/>
      </c>
      <c r="M40" s="13">
        <f>IF(H40&gt;0,(K40*Inputs!$C$99+L40*Inputs!$C$109)/H40,0)</f>
        <v/>
      </c>
      <c r="N40" s="13">
        <f>IF(H40&gt;0,(K40*Inputs!$C$100+L40*Inputs!$C$110)/H40,0)</f>
        <v/>
      </c>
      <c r="O40" s="13">
        <f>Inputs!$C$6*Inputs!$C$42*(Inputs!$C$47*(Inputs!$C$49+J40)+Inputs!$C$51)+B$14+B$18+M40</f>
        <v/>
      </c>
      <c r="P40" s="13">
        <f>Inputs!$C$6*Inputs!$C$43*(Inputs!$C$47*(Inputs!$C$49+J40)+Inputs!$C$51)+C$14+C$18+M40</f>
        <v/>
      </c>
      <c r="Q40" s="13">
        <f>Inputs!$C$6*Inputs!$C$44*(Inputs!$C$48*(Inputs!$C$49+J40)+Inputs!$C$52)+D$14+D$18+M40</f>
        <v/>
      </c>
      <c r="R40" s="13">
        <f>Inputs!$C$6*Inputs!$C$45*(Inputs!$C$48*(Inputs!$C$49+J40)+Inputs!$C$53)+E$14+E$18+M40</f>
        <v/>
      </c>
      <c r="S40" s="13">
        <f>Inputs!$C$6*Inputs!$C$46*(Inputs!$C$48*(Inputs!$C$49+J40)+Inputs!$C$53)+F$14+F$18+M40</f>
        <v/>
      </c>
      <c r="T40" s="13">
        <f>Inputs!$C$6*Inputs!$C$46*(Inputs!$C$48*(Inputs!$C$49+J40)+Inputs!$C$53)+G$14+G$18</f>
        <v/>
      </c>
      <c r="U40" s="13">
        <f>Inputs!$C$6*Inputs!$C$42*Inputs!$C$54+I$14+I$18+N40</f>
        <v/>
      </c>
      <c r="V40" s="13">
        <f>Inputs!$C$6*Inputs!$C$43*Inputs!$C$54+J$14+J$18+N40</f>
        <v/>
      </c>
      <c r="W40" s="13">
        <f>Inputs!$C$6*Inputs!$C$44*Inputs!$C$55+K$14+K$18+N40</f>
        <v/>
      </c>
      <c r="X40" s="13">
        <f>Inputs!$C$6*Inputs!$C$45*Inputs!$C$55+L$14+L$18+N40</f>
        <v/>
      </c>
      <c r="Y40" s="13">
        <f>Inputs!$C$6*Inputs!$C$46*Inputs!$C$55+M$14+M$18+N40</f>
        <v/>
      </c>
      <c r="Z40" s="13">
        <f>Inputs!$C$6*Inputs!$C$46*Inputs!$C$55+N$14+N$18</f>
        <v/>
      </c>
      <c r="AA40" s="13">
        <f>Calendar!M14*Inputs!$C$6+Calendar!E14*Inputs!$C$6+Calendar!Q14*Inputs!$C$112+Inputs!$C$6*Inputs!$C$106/12+Inputs!$C$108*Inputs!$C$107/12</f>
        <v/>
      </c>
      <c r="AB40" s="13">
        <f>Calendar!M14*Inputs!$C$6*Inputs!$C$101+Calendar!N14*Inputs!$C$6+Calendar!O14*Inputs!$C$113+Calendar!E14*Inputs!$C$6+Calendar!Q14*Inputs!$C$19*Inputs!$C$111+L40</f>
        <v/>
      </c>
      <c r="AC40" s="37">
        <f>B40*O40+C40*P40+D40*Q40+E40*R40+F40*S40+G40*T40+AA40</f>
        <v/>
      </c>
      <c r="AD40" s="37">
        <f>B40*U40+C40*V40+D40*W40+E40*X40+F40*Y40+G40*Z40+AB40</f>
        <v/>
      </c>
      <c r="AE40" s="37">
        <f>B40*MAX(0,O40-Inputs!$C$26)+C40*MAX(0,P40-Inputs!$C$26)+D40*MAX(0,Q40-Inputs!$C$26)+E40*MAX(0,R40-Inputs!$C$26)+F40*MAX(0,S40-Inputs!$C$26)+G40*MAX(0,T40-Inputs!$C$26)+AA40</f>
        <v/>
      </c>
      <c r="AF40" s="37">
        <f>B40*MAX(0,U40-Inputs!$C$27)+C40*MAX(0,V40-Inputs!$C$27)+D40*MAX(0,W40-Inputs!$C$27)+E40*MAX(0,X40-Inputs!$C$27)+F40*MAX(0,Y40-Inputs!$C$27)+G40*MAX(0,Z40-Inputs!$C$27)+AB40</f>
        <v/>
      </c>
      <c r="AG40" s="13">
        <f>Inputs!$C$6*Inputs!$C$42*Inputs!$C$47*Inputs!$C$56*B40+(Inputs!$C$6*Inputs!$C$43*Inputs!$C$47*Inputs!$C$56+'Usage Model'!$B$23*Inputs!$C$92)*C40+Inputs!$C$6*Inputs!$C$44*Inputs!$C$48*Inputs!$C$56*D40+Inputs!$C$6*Inputs!$C$45*Inputs!$C$48*Inputs!$C$56*E40+Inputs!$C$6*Inputs!$C$46*Inputs!$C$48*Inputs!$C$56*(F40+G40)+'Usage Model'!$B$24*Inputs!$C$96*B40</f>
        <v/>
      </c>
      <c r="AH40" s="13">
        <f>Inputs!$C$18*Inputs!$C$15*(B40+C40*Inputs!$C$76)</f>
        <v/>
      </c>
      <c r="AI40" s="18">
        <f>AI39+AH40*Inputs!$C$118/1048576+('Usage Model'!$B$26*(B40+C40)*0.5+'Usage Model'!$B$25*(B40+C40))/1048576+'Usage Model'!$B$23*C40*Inputs!$C$119/1048576+0.05</f>
        <v/>
      </c>
      <c r="AJ40" s="18">
        <f>'Usage Model'!$B$24*B40*Inputs!$C$97/1024+(Calendar!M14+Calendar!P14)*Inputs!$C$6*Inputs!$C$117/1048576+L40*3/1024</f>
        <v/>
      </c>
      <c r="AK40" s="18">
        <f>AK39+AJ40</f>
        <v/>
      </c>
      <c r="AL40" s="18">
        <f>(Inputs!$C$6*Inputs!$C$116*Inputs!$C$115/1024)*(B40+C40)/(Calendar!$B$16+Calendar!$C$16)+'Usage Model'!$B$24*B40*Inputs!$C$97/1024+(Calendar!M14+Calendar!P14)*Inputs!$C$6*Inputs!$C$117/1048576*2</f>
        <v/>
      </c>
      <c r="AM40" s="18">
        <f>Inputs!$C$14*Inputs!$C$120*Inputs!$C$121/1024+(Inputs!$C$6*Inputs!$C$123+Inputs!$C$7)*Inputs!$C$122*30/1048576</f>
        <v/>
      </c>
      <c r="AN40" s="13">
        <f>MAX(O40:T40)</f>
        <v/>
      </c>
    </row>
    <row r="41">
      <c r="A41" s="13">
        <f>Calendar!A15</f>
        <v/>
      </c>
      <c r="B41" s="13">
        <f>Calendar!B15</f>
        <v/>
      </c>
      <c r="C41" s="13">
        <f>Calendar!C15</f>
        <v/>
      </c>
      <c r="D41" s="13">
        <f>Calendar!D15</f>
        <v/>
      </c>
      <c r="E41" s="13">
        <f>Calendar!E15</f>
        <v/>
      </c>
      <c r="F41" s="13">
        <f>Calendar!F15</f>
        <v/>
      </c>
      <c r="G41" s="13">
        <f>Calendar!G15</f>
        <v/>
      </c>
      <c r="H41" s="13">
        <f>Calendar!H15</f>
        <v/>
      </c>
      <c r="I41" s="18">
        <f>Calendar!J15</f>
        <v/>
      </c>
      <c r="J41" s="13">
        <f>Inputs!$C$50*I41</f>
        <v/>
      </c>
      <c r="K41" s="13">
        <f>Inputs!$C$98*Calendar!K15</f>
        <v/>
      </c>
      <c r="L41" s="13">
        <f>Inputs!$C$20*Calendar!L15</f>
        <v/>
      </c>
      <c r="M41" s="13">
        <f>IF(H41&gt;0,(K41*Inputs!$C$99+L41*Inputs!$C$109)/H41,0)</f>
        <v/>
      </c>
      <c r="N41" s="13">
        <f>IF(H41&gt;0,(K41*Inputs!$C$100+L41*Inputs!$C$110)/H41,0)</f>
        <v/>
      </c>
      <c r="O41" s="13">
        <f>Inputs!$C$6*Inputs!$C$42*(Inputs!$C$47*(Inputs!$C$49+J41)+Inputs!$C$51)+B$14+B$18+M41</f>
        <v/>
      </c>
      <c r="P41" s="13">
        <f>Inputs!$C$6*Inputs!$C$43*(Inputs!$C$47*(Inputs!$C$49+J41)+Inputs!$C$51)+C$14+C$18+M41</f>
        <v/>
      </c>
      <c r="Q41" s="13">
        <f>Inputs!$C$6*Inputs!$C$44*(Inputs!$C$48*(Inputs!$C$49+J41)+Inputs!$C$52)+D$14+D$18+M41</f>
        <v/>
      </c>
      <c r="R41" s="13">
        <f>Inputs!$C$6*Inputs!$C$45*(Inputs!$C$48*(Inputs!$C$49+J41)+Inputs!$C$53)+E$14+E$18+M41</f>
        <v/>
      </c>
      <c r="S41" s="13">
        <f>Inputs!$C$6*Inputs!$C$46*(Inputs!$C$48*(Inputs!$C$49+J41)+Inputs!$C$53)+F$14+F$18+M41</f>
        <v/>
      </c>
      <c r="T41" s="13">
        <f>Inputs!$C$6*Inputs!$C$46*(Inputs!$C$48*(Inputs!$C$49+J41)+Inputs!$C$53)+G$14+G$18</f>
        <v/>
      </c>
      <c r="U41" s="13">
        <f>Inputs!$C$6*Inputs!$C$42*Inputs!$C$54+I$14+I$18+N41</f>
        <v/>
      </c>
      <c r="V41" s="13">
        <f>Inputs!$C$6*Inputs!$C$43*Inputs!$C$54+J$14+J$18+N41</f>
        <v/>
      </c>
      <c r="W41" s="13">
        <f>Inputs!$C$6*Inputs!$C$44*Inputs!$C$55+K$14+K$18+N41</f>
        <v/>
      </c>
      <c r="X41" s="13">
        <f>Inputs!$C$6*Inputs!$C$45*Inputs!$C$55+L$14+L$18+N41</f>
        <v/>
      </c>
      <c r="Y41" s="13">
        <f>Inputs!$C$6*Inputs!$C$46*Inputs!$C$55+M$14+M$18+N41</f>
        <v/>
      </c>
      <c r="Z41" s="13">
        <f>Inputs!$C$6*Inputs!$C$46*Inputs!$C$55+N$14+N$18</f>
        <v/>
      </c>
      <c r="AA41" s="13">
        <f>Calendar!M15*Inputs!$C$6+Calendar!E15*Inputs!$C$6+Calendar!Q15*Inputs!$C$112+Inputs!$C$6*Inputs!$C$106/12+Inputs!$C$108*Inputs!$C$107/12</f>
        <v/>
      </c>
      <c r="AB41" s="13">
        <f>Calendar!M15*Inputs!$C$6*Inputs!$C$101+Calendar!N15*Inputs!$C$6+Calendar!O15*Inputs!$C$113+Calendar!E15*Inputs!$C$6+Calendar!Q15*Inputs!$C$19*Inputs!$C$111+L41</f>
        <v/>
      </c>
      <c r="AC41" s="37">
        <f>B41*O41+C41*P41+D41*Q41+E41*R41+F41*S41+G41*T41+AA41</f>
        <v/>
      </c>
      <c r="AD41" s="37">
        <f>B41*U41+C41*V41+D41*W41+E41*X41+F41*Y41+G41*Z41+AB41</f>
        <v/>
      </c>
      <c r="AE41" s="37">
        <f>B41*MAX(0,O41-Inputs!$C$26)+C41*MAX(0,P41-Inputs!$C$26)+D41*MAX(0,Q41-Inputs!$C$26)+E41*MAX(0,R41-Inputs!$C$26)+F41*MAX(0,S41-Inputs!$C$26)+G41*MAX(0,T41-Inputs!$C$26)+AA41</f>
        <v/>
      </c>
      <c r="AF41" s="37">
        <f>B41*MAX(0,U41-Inputs!$C$27)+C41*MAX(0,V41-Inputs!$C$27)+D41*MAX(0,W41-Inputs!$C$27)+E41*MAX(0,X41-Inputs!$C$27)+F41*MAX(0,Y41-Inputs!$C$27)+G41*MAX(0,Z41-Inputs!$C$27)+AB41</f>
        <v/>
      </c>
      <c r="AG41" s="13">
        <f>Inputs!$C$6*Inputs!$C$42*Inputs!$C$47*Inputs!$C$56*B41+(Inputs!$C$6*Inputs!$C$43*Inputs!$C$47*Inputs!$C$56+'Usage Model'!$B$23*Inputs!$C$92)*C41+Inputs!$C$6*Inputs!$C$44*Inputs!$C$48*Inputs!$C$56*D41+Inputs!$C$6*Inputs!$C$45*Inputs!$C$48*Inputs!$C$56*E41+Inputs!$C$6*Inputs!$C$46*Inputs!$C$48*Inputs!$C$56*(F41+G41)+'Usage Model'!$B$24*Inputs!$C$96*B41</f>
        <v/>
      </c>
      <c r="AH41" s="13">
        <f>Inputs!$C$18*Inputs!$C$15*(B41+C41*Inputs!$C$76)</f>
        <v/>
      </c>
      <c r="AI41" s="18">
        <f>AI40+AH41*Inputs!$C$118/1048576+('Usage Model'!$B$26*(B41+C41)*0.5+'Usage Model'!$B$25*(B41+C41))/1048576+'Usage Model'!$B$23*C41*Inputs!$C$119/1048576+0.05</f>
        <v/>
      </c>
      <c r="AJ41" s="18">
        <f>'Usage Model'!$B$24*B41*Inputs!$C$97/1024+(Calendar!M15+Calendar!P15)*Inputs!$C$6*Inputs!$C$117/1048576+L41*3/1024</f>
        <v/>
      </c>
      <c r="AK41" s="18">
        <f>AK40+AJ41</f>
        <v/>
      </c>
      <c r="AL41" s="18">
        <f>(Inputs!$C$6*Inputs!$C$116*Inputs!$C$115/1024)*(B41+C41)/(Calendar!$B$16+Calendar!$C$16)+'Usage Model'!$B$24*B41*Inputs!$C$97/1024+(Calendar!M15+Calendar!P15)*Inputs!$C$6*Inputs!$C$117/1048576*2</f>
        <v/>
      </c>
      <c r="AM41" s="18">
        <f>Inputs!$C$14*Inputs!$C$120*Inputs!$C$121/1024+(Inputs!$C$6*Inputs!$C$123+Inputs!$C$7)*Inputs!$C$122*30/1048576</f>
        <v/>
      </c>
      <c r="AN41" s="13">
        <f>MAX(O41:T41)</f>
        <v/>
      </c>
    </row>
    <row r="42">
      <c r="A42" s="3" t="inlineStr">
        <is>
          <t>YEAR TOTAL</t>
        </is>
      </c>
      <c r="B42" s="34">
        <f>SUM(B30:B41)</f>
        <v/>
      </c>
      <c r="C42" s="34">
        <f>SUM(C30:C41)</f>
        <v/>
      </c>
      <c r="D42" s="34">
        <f>SUM(D30:D41)</f>
        <v/>
      </c>
      <c r="E42" s="34">
        <f>SUM(E30:E41)</f>
        <v/>
      </c>
      <c r="F42" s="34">
        <f>SUM(F30:F41)</f>
        <v/>
      </c>
      <c r="G42" s="34">
        <f>SUM(G30:G41)</f>
        <v/>
      </c>
      <c r="H42" s="34">
        <f>SUM(H30:H41)</f>
        <v/>
      </c>
      <c r="AA42" s="34">
        <f>SUM(AA30:AA41)</f>
        <v/>
      </c>
      <c r="AB42" s="34">
        <f>SUM(AB30:AB41)</f>
        <v/>
      </c>
      <c r="AC42" s="34">
        <f>SUM(AC30:AC41)</f>
        <v/>
      </c>
      <c r="AD42" s="34">
        <f>SUM(AD30:AD41)</f>
        <v/>
      </c>
      <c r="AE42" s="34">
        <f>SUM(AE30:AE41)</f>
        <v/>
      </c>
      <c r="AF42" s="34">
        <f>SUM(AF30:AF41)</f>
        <v/>
      </c>
      <c r="AG42" s="34">
        <f>SUM(AG30:AG41)</f>
        <v/>
      </c>
      <c r="AH42" s="34">
        <f>SUM(AH30:AH41)</f>
        <v/>
      </c>
      <c r="AI42" s="38">
        <f>AI41</f>
        <v/>
      </c>
      <c r="AK42" s="38">
        <f>AK41</f>
        <v/>
      </c>
      <c r="AN42" s="34">
        <f>MAX(AN30:AN41)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4" customWidth="1" min="4" max="4"/>
    <col width="13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9" customWidth="1" min="13" max="13"/>
    <col width="11" customWidth="1" min="14" max="14"/>
    <col width="14" customWidth="1" min="15" max="15"/>
    <col width="12" customWidth="1" min="16" max="16"/>
    <col width="12" customWidth="1" min="17" max="17"/>
    <col width="12" customWidth="1" min="18" max="18"/>
    <col width="13" customWidth="1" min="19" max="19"/>
    <col width="15" customWidth="1" min="20" max="20"/>
    <col width="15" customWidth="1" min="21" max="21"/>
    <col width="14" customWidth="1" min="22" max="22"/>
  </cols>
  <sheetData>
    <row r="1">
      <c r="A1" s="1" t="inlineStr">
        <is>
          <t>Monthly cost plan — cloud (Firebase), AI, overheads and team</t>
        </is>
      </c>
    </row>
    <row r="2">
      <c r="A2" s="2" t="inlineStr">
        <is>
          <t>Cloud in USD then INR (ex-GST). AI budget distributed by the Calendar AI weights. Overheads and team are the per-college allocations from 'Team &amp; Overheads' ÷ 12.</t>
        </is>
      </c>
    </row>
    <row r="3" ht="40" customHeight="1">
      <c r="A3" s="19" t="inlineStr">
        <is>
          <t>Month</t>
        </is>
      </c>
      <c r="B3" s="19" t="inlineStr">
        <is>
          <t>Reads</t>
        </is>
      </c>
      <c r="C3" s="19" t="inlineStr">
        <is>
          <t>Writes</t>
        </is>
      </c>
      <c r="D3" s="19" t="inlineStr">
        <is>
          <t>Billable reads</t>
        </is>
      </c>
      <c r="E3" s="19" t="inlineStr">
        <is>
          <t>Billable writes</t>
        </is>
      </c>
      <c r="F3" s="19" t="inlineStr">
        <is>
          <t>Reads $</t>
        </is>
      </c>
      <c r="G3" s="19" t="inlineStr">
        <is>
          <t>Writes $</t>
        </is>
      </c>
      <c r="H3" s="19" t="inlineStr">
        <is>
          <t>Firestore storage $</t>
        </is>
      </c>
      <c r="I3" s="19" t="inlineStr">
        <is>
          <t>Files storage $</t>
        </is>
      </c>
      <c r="J3" s="19" t="inlineStr">
        <is>
          <t>Downloads $</t>
        </is>
      </c>
      <c r="K3" s="19" t="inlineStr">
        <is>
          <t>Hosting $</t>
        </is>
      </c>
      <c r="L3" s="19" t="inlineStr">
        <is>
          <t>Functions $</t>
        </is>
      </c>
      <c r="M3" s="19" t="inlineStr">
        <is>
          <t>Fixed $</t>
        </is>
      </c>
      <c r="N3" s="19" t="inlineStr">
        <is>
          <t>CLOUD $</t>
        </is>
      </c>
      <c r="O3" s="19" t="inlineStr">
        <is>
          <t>CLOUD ₹ (ex-GST)</t>
        </is>
      </c>
      <c r="P3" s="19" t="inlineStr">
        <is>
          <t>GST on cloud ₹</t>
        </is>
      </c>
      <c r="Q3" s="19" t="inlineStr">
        <is>
          <t>AI ₹</t>
        </is>
      </c>
      <c r="R3" s="19" t="inlineStr">
        <is>
          <t>Overheads ₹</t>
        </is>
      </c>
      <c r="S3" s="19" t="inlineStr">
        <is>
          <t>Team ₹</t>
        </is>
      </c>
      <c r="T3" s="19" t="inlineStr">
        <is>
          <t>MONTH TOTAL ₹</t>
        </is>
      </c>
      <c r="U3" s="19" t="inlineStr">
        <is>
          <t>Cumulative ₹</t>
        </is>
      </c>
      <c r="V3" s="19" t="inlineStr">
        <is>
          <t>Peak reads / day</t>
        </is>
      </c>
    </row>
    <row r="4">
      <c r="A4" s="13">
        <f>'Usage Model'!A30</f>
        <v/>
      </c>
      <c r="B4" s="13">
        <f>'Usage Model'!AC30</f>
        <v/>
      </c>
      <c r="C4" s="13">
        <f>'Usage Model'!AD30</f>
        <v/>
      </c>
      <c r="D4" s="13">
        <f>'Usage Model'!AE30</f>
        <v/>
      </c>
      <c r="E4" s="13">
        <f>'Usage Model'!AF30</f>
        <v/>
      </c>
      <c r="F4" s="30">
        <f>D4/100000*Inputs!$C$24</f>
        <v/>
      </c>
      <c r="G4" s="30">
        <f>E4/100000*Inputs!$C$25</f>
        <v/>
      </c>
      <c r="H4" s="30">
        <f>MAX(0,'Usage Model'!AI30-Inputs!$C$29)*Inputs!$C$28</f>
        <v/>
      </c>
      <c r="I4" s="30">
        <f>MAX(0,'Usage Model'!AK30-Inputs!$C$31)*Inputs!$C$30</f>
        <v/>
      </c>
      <c r="J4" s="30">
        <f>MAX(0,'Usage Model'!AL30-Inputs!$C$33)*Inputs!$C$32</f>
        <v/>
      </c>
      <c r="K4" s="30">
        <f>MAX(0,'Usage Model'!AM30-Inputs!$C$35)*Inputs!$C$34</f>
        <v/>
      </c>
      <c r="L4" s="30">
        <f>Inputs!$C$36</f>
        <v/>
      </c>
      <c r="M4" s="30">
        <f>Inputs!$C$37</f>
        <v/>
      </c>
      <c r="N4" s="39">
        <f>SUM(F4:M4)</f>
        <v/>
      </c>
      <c r="O4" s="26">
        <f>N4*Inputs!$C$23</f>
        <v/>
      </c>
      <c r="P4" s="25">
        <f>O4*Inputs!$C$38</f>
        <v/>
      </c>
      <c r="Q4" s="25">
        <f>'AI Costing'!$I$23*Calendar!R4</f>
        <v/>
      </c>
      <c r="R4" s="25">
        <f>'Team &amp; Overheads'!$D$32/12</f>
        <v/>
      </c>
      <c r="S4" s="25">
        <f>'Team &amp; Overheads'!$E$18/12</f>
        <v/>
      </c>
      <c r="T4" s="26">
        <f>O4+P4*(1-Inputs!$C$39)+Q4+R4+S4</f>
        <v/>
      </c>
      <c r="U4" s="26">
        <f>T4</f>
        <v/>
      </c>
      <c r="V4" s="13">
        <f>'Usage Model'!AN30</f>
        <v/>
      </c>
    </row>
    <row r="5">
      <c r="A5" s="13">
        <f>'Usage Model'!A31</f>
        <v/>
      </c>
      <c r="B5" s="13">
        <f>'Usage Model'!AC31</f>
        <v/>
      </c>
      <c r="C5" s="13">
        <f>'Usage Model'!AD31</f>
        <v/>
      </c>
      <c r="D5" s="13">
        <f>'Usage Model'!AE31</f>
        <v/>
      </c>
      <c r="E5" s="13">
        <f>'Usage Model'!AF31</f>
        <v/>
      </c>
      <c r="F5" s="30">
        <f>D5/100000*Inputs!$C$24</f>
        <v/>
      </c>
      <c r="G5" s="30">
        <f>E5/100000*Inputs!$C$25</f>
        <v/>
      </c>
      <c r="H5" s="30">
        <f>MAX(0,'Usage Model'!AI31-Inputs!$C$29)*Inputs!$C$28</f>
        <v/>
      </c>
      <c r="I5" s="30">
        <f>MAX(0,'Usage Model'!AK31-Inputs!$C$31)*Inputs!$C$30</f>
        <v/>
      </c>
      <c r="J5" s="30">
        <f>MAX(0,'Usage Model'!AL31-Inputs!$C$33)*Inputs!$C$32</f>
        <v/>
      </c>
      <c r="K5" s="30">
        <f>MAX(0,'Usage Model'!AM31-Inputs!$C$35)*Inputs!$C$34</f>
        <v/>
      </c>
      <c r="L5" s="30">
        <f>Inputs!$C$36</f>
        <v/>
      </c>
      <c r="M5" s="30">
        <f>Inputs!$C$37</f>
        <v/>
      </c>
      <c r="N5" s="39">
        <f>SUM(F5:M5)</f>
        <v/>
      </c>
      <c r="O5" s="26">
        <f>N5*Inputs!$C$23</f>
        <v/>
      </c>
      <c r="P5" s="25">
        <f>O5*Inputs!$C$38</f>
        <v/>
      </c>
      <c r="Q5" s="25">
        <f>'AI Costing'!$I$23*Calendar!R5</f>
        <v/>
      </c>
      <c r="R5" s="25">
        <f>'Team &amp; Overheads'!$D$32/12</f>
        <v/>
      </c>
      <c r="S5" s="25">
        <f>'Team &amp; Overheads'!$E$18/12</f>
        <v/>
      </c>
      <c r="T5" s="26">
        <f>O5+P5*(1-Inputs!$C$39)+Q5+R5+S5</f>
        <v/>
      </c>
      <c r="U5" s="26">
        <f>U4+T5</f>
        <v/>
      </c>
      <c r="V5" s="13">
        <f>'Usage Model'!AN31</f>
        <v/>
      </c>
    </row>
    <row r="6">
      <c r="A6" s="13">
        <f>'Usage Model'!A32</f>
        <v/>
      </c>
      <c r="B6" s="13">
        <f>'Usage Model'!AC32</f>
        <v/>
      </c>
      <c r="C6" s="13">
        <f>'Usage Model'!AD32</f>
        <v/>
      </c>
      <c r="D6" s="13">
        <f>'Usage Model'!AE32</f>
        <v/>
      </c>
      <c r="E6" s="13">
        <f>'Usage Model'!AF32</f>
        <v/>
      </c>
      <c r="F6" s="30">
        <f>D6/100000*Inputs!$C$24</f>
        <v/>
      </c>
      <c r="G6" s="30">
        <f>E6/100000*Inputs!$C$25</f>
        <v/>
      </c>
      <c r="H6" s="30">
        <f>MAX(0,'Usage Model'!AI32-Inputs!$C$29)*Inputs!$C$28</f>
        <v/>
      </c>
      <c r="I6" s="30">
        <f>MAX(0,'Usage Model'!AK32-Inputs!$C$31)*Inputs!$C$30</f>
        <v/>
      </c>
      <c r="J6" s="30">
        <f>MAX(0,'Usage Model'!AL32-Inputs!$C$33)*Inputs!$C$32</f>
        <v/>
      </c>
      <c r="K6" s="30">
        <f>MAX(0,'Usage Model'!AM32-Inputs!$C$35)*Inputs!$C$34</f>
        <v/>
      </c>
      <c r="L6" s="30">
        <f>Inputs!$C$36</f>
        <v/>
      </c>
      <c r="M6" s="30">
        <f>Inputs!$C$37</f>
        <v/>
      </c>
      <c r="N6" s="39">
        <f>SUM(F6:M6)</f>
        <v/>
      </c>
      <c r="O6" s="26">
        <f>N6*Inputs!$C$23</f>
        <v/>
      </c>
      <c r="P6" s="25">
        <f>O6*Inputs!$C$38</f>
        <v/>
      </c>
      <c r="Q6" s="25">
        <f>'AI Costing'!$I$23*Calendar!R6</f>
        <v/>
      </c>
      <c r="R6" s="25">
        <f>'Team &amp; Overheads'!$D$32/12</f>
        <v/>
      </c>
      <c r="S6" s="25">
        <f>'Team &amp; Overheads'!$E$18/12</f>
        <v/>
      </c>
      <c r="T6" s="26">
        <f>O6+P6*(1-Inputs!$C$39)+Q6+R6+S6</f>
        <v/>
      </c>
      <c r="U6" s="26">
        <f>U5+T6</f>
        <v/>
      </c>
      <c r="V6" s="13">
        <f>'Usage Model'!AN32</f>
        <v/>
      </c>
    </row>
    <row r="7">
      <c r="A7" s="13">
        <f>'Usage Model'!A33</f>
        <v/>
      </c>
      <c r="B7" s="13">
        <f>'Usage Model'!AC33</f>
        <v/>
      </c>
      <c r="C7" s="13">
        <f>'Usage Model'!AD33</f>
        <v/>
      </c>
      <c r="D7" s="13">
        <f>'Usage Model'!AE33</f>
        <v/>
      </c>
      <c r="E7" s="13">
        <f>'Usage Model'!AF33</f>
        <v/>
      </c>
      <c r="F7" s="30">
        <f>D7/100000*Inputs!$C$24</f>
        <v/>
      </c>
      <c r="G7" s="30">
        <f>E7/100000*Inputs!$C$25</f>
        <v/>
      </c>
      <c r="H7" s="30">
        <f>MAX(0,'Usage Model'!AI33-Inputs!$C$29)*Inputs!$C$28</f>
        <v/>
      </c>
      <c r="I7" s="30">
        <f>MAX(0,'Usage Model'!AK33-Inputs!$C$31)*Inputs!$C$30</f>
        <v/>
      </c>
      <c r="J7" s="30">
        <f>MAX(0,'Usage Model'!AL33-Inputs!$C$33)*Inputs!$C$32</f>
        <v/>
      </c>
      <c r="K7" s="30">
        <f>MAX(0,'Usage Model'!AM33-Inputs!$C$35)*Inputs!$C$34</f>
        <v/>
      </c>
      <c r="L7" s="30">
        <f>Inputs!$C$36</f>
        <v/>
      </c>
      <c r="M7" s="30">
        <f>Inputs!$C$37</f>
        <v/>
      </c>
      <c r="N7" s="39">
        <f>SUM(F7:M7)</f>
        <v/>
      </c>
      <c r="O7" s="26">
        <f>N7*Inputs!$C$23</f>
        <v/>
      </c>
      <c r="P7" s="25">
        <f>O7*Inputs!$C$38</f>
        <v/>
      </c>
      <c r="Q7" s="25">
        <f>'AI Costing'!$I$23*Calendar!R7</f>
        <v/>
      </c>
      <c r="R7" s="25">
        <f>'Team &amp; Overheads'!$D$32/12</f>
        <v/>
      </c>
      <c r="S7" s="25">
        <f>'Team &amp; Overheads'!$E$18/12</f>
        <v/>
      </c>
      <c r="T7" s="26">
        <f>O7+P7*(1-Inputs!$C$39)+Q7+R7+S7</f>
        <v/>
      </c>
      <c r="U7" s="26">
        <f>U6+T7</f>
        <v/>
      </c>
      <c r="V7" s="13">
        <f>'Usage Model'!AN33</f>
        <v/>
      </c>
    </row>
    <row r="8">
      <c r="A8" s="13">
        <f>'Usage Model'!A34</f>
        <v/>
      </c>
      <c r="B8" s="13">
        <f>'Usage Model'!AC34</f>
        <v/>
      </c>
      <c r="C8" s="13">
        <f>'Usage Model'!AD34</f>
        <v/>
      </c>
      <c r="D8" s="13">
        <f>'Usage Model'!AE34</f>
        <v/>
      </c>
      <c r="E8" s="13">
        <f>'Usage Model'!AF34</f>
        <v/>
      </c>
      <c r="F8" s="30">
        <f>D8/100000*Inputs!$C$24</f>
        <v/>
      </c>
      <c r="G8" s="30">
        <f>E8/100000*Inputs!$C$25</f>
        <v/>
      </c>
      <c r="H8" s="30">
        <f>MAX(0,'Usage Model'!AI34-Inputs!$C$29)*Inputs!$C$28</f>
        <v/>
      </c>
      <c r="I8" s="30">
        <f>MAX(0,'Usage Model'!AK34-Inputs!$C$31)*Inputs!$C$30</f>
        <v/>
      </c>
      <c r="J8" s="30">
        <f>MAX(0,'Usage Model'!AL34-Inputs!$C$33)*Inputs!$C$32</f>
        <v/>
      </c>
      <c r="K8" s="30">
        <f>MAX(0,'Usage Model'!AM34-Inputs!$C$35)*Inputs!$C$34</f>
        <v/>
      </c>
      <c r="L8" s="30">
        <f>Inputs!$C$36</f>
        <v/>
      </c>
      <c r="M8" s="30">
        <f>Inputs!$C$37</f>
        <v/>
      </c>
      <c r="N8" s="39">
        <f>SUM(F8:M8)</f>
        <v/>
      </c>
      <c r="O8" s="26">
        <f>N8*Inputs!$C$23</f>
        <v/>
      </c>
      <c r="P8" s="25">
        <f>O8*Inputs!$C$38</f>
        <v/>
      </c>
      <c r="Q8" s="25">
        <f>'AI Costing'!$I$23*Calendar!R8</f>
        <v/>
      </c>
      <c r="R8" s="25">
        <f>'Team &amp; Overheads'!$D$32/12</f>
        <v/>
      </c>
      <c r="S8" s="25">
        <f>'Team &amp; Overheads'!$E$18/12</f>
        <v/>
      </c>
      <c r="T8" s="26">
        <f>O8+P8*(1-Inputs!$C$39)+Q8+R8+S8</f>
        <v/>
      </c>
      <c r="U8" s="26">
        <f>U7+T8</f>
        <v/>
      </c>
      <c r="V8" s="13">
        <f>'Usage Model'!AN34</f>
        <v/>
      </c>
    </row>
    <row r="9">
      <c r="A9" s="13">
        <f>'Usage Model'!A35</f>
        <v/>
      </c>
      <c r="B9" s="13">
        <f>'Usage Model'!AC35</f>
        <v/>
      </c>
      <c r="C9" s="13">
        <f>'Usage Model'!AD35</f>
        <v/>
      </c>
      <c r="D9" s="13">
        <f>'Usage Model'!AE35</f>
        <v/>
      </c>
      <c r="E9" s="13">
        <f>'Usage Model'!AF35</f>
        <v/>
      </c>
      <c r="F9" s="30">
        <f>D9/100000*Inputs!$C$24</f>
        <v/>
      </c>
      <c r="G9" s="30">
        <f>E9/100000*Inputs!$C$25</f>
        <v/>
      </c>
      <c r="H9" s="30">
        <f>MAX(0,'Usage Model'!AI35-Inputs!$C$29)*Inputs!$C$28</f>
        <v/>
      </c>
      <c r="I9" s="30">
        <f>MAX(0,'Usage Model'!AK35-Inputs!$C$31)*Inputs!$C$30</f>
        <v/>
      </c>
      <c r="J9" s="30">
        <f>MAX(0,'Usage Model'!AL35-Inputs!$C$33)*Inputs!$C$32</f>
        <v/>
      </c>
      <c r="K9" s="30">
        <f>MAX(0,'Usage Model'!AM35-Inputs!$C$35)*Inputs!$C$34</f>
        <v/>
      </c>
      <c r="L9" s="30">
        <f>Inputs!$C$36</f>
        <v/>
      </c>
      <c r="M9" s="30">
        <f>Inputs!$C$37</f>
        <v/>
      </c>
      <c r="N9" s="39">
        <f>SUM(F9:M9)</f>
        <v/>
      </c>
      <c r="O9" s="26">
        <f>N9*Inputs!$C$23</f>
        <v/>
      </c>
      <c r="P9" s="25">
        <f>O9*Inputs!$C$38</f>
        <v/>
      </c>
      <c r="Q9" s="25">
        <f>'AI Costing'!$I$23*Calendar!R9</f>
        <v/>
      </c>
      <c r="R9" s="25">
        <f>'Team &amp; Overheads'!$D$32/12</f>
        <v/>
      </c>
      <c r="S9" s="25">
        <f>'Team &amp; Overheads'!$E$18/12</f>
        <v/>
      </c>
      <c r="T9" s="26">
        <f>O9+P9*(1-Inputs!$C$39)+Q9+R9+S9</f>
        <v/>
      </c>
      <c r="U9" s="26">
        <f>U8+T9</f>
        <v/>
      </c>
      <c r="V9" s="13">
        <f>'Usage Model'!AN35</f>
        <v/>
      </c>
    </row>
    <row r="10">
      <c r="A10" s="13">
        <f>'Usage Model'!A36</f>
        <v/>
      </c>
      <c r="B10" s="13">
        <f>'Usage Model'!AC36</f>
        <v/>
      </c>
      <c r="C10" s="13">
        <f>'Usage Model'!AD36</f>
        <v/>
      </c>
      <c r="D10" s="13">
        <f>'Usage Model'!AE36</f>
        <v/>
      </c>
      <c r="E10" s="13">
        <f>'Usage Model'!AF36</f>
        <v/>
      </c>
      <c r="F10" s="30">
        <f>D10/100000*Inputs!$C$24</f>
        <v/>
      </c>
      <c r="G10" s="30">
        <f>E10/100000*Inputs!$C$25</f>
        <v/>
      </c>
      <c r="H10" s="30">
        <f>MAX(0,'Usage Model'!AI36-Inputs!$C$29)*Inputs!$C$28</f>
        <v/>
      </c>
      <c r="I10" s="30">
        <f>MAX(0,'Usage Model'!AK36-Inputs!$C$31)*Inputs!$C$30</f>
        <v/>
      </c>
      <c r="J10" s="30">
        <f>MAX(0,'Usage Model'!AL36-Inputs!$C$33)*Inputs!$C$32</f>
        <v/>
      </c>
      <c r="K10" s="30">
        <f>MAX(0,'Usage Model'!AM36-Inputs!$C$35)*Inputs!$C$34</f>
        <v/>
      </c>
      <c r="L10" s="30">
        <f>Inputs!$C$36</f>
        <v/>
      </c>
      <c r="M10" s="30">
        <f>Inputs!$C$37</f>
        <v/>
      </c>
      <c r="N10" s="39">
        <f>SUM(F10:M10)</f>
        <v/>
      </c>
      <c r="O10" s="26">
        <f>N10*Inputs!$C$23</f>
        <v/>
      </c>
      <c r="P10" s="25">
        <f>O10*Inputs!$C$38</f>
        <v/>
      </c>
      <c r="Q10" s="25">
        <f>'AI Costing'!$I$23*Calendar!R10</f>
        <v/>
      </c>
      <c r="R10" s="25">
        <f>'Team &amp; Overheads'!$D$32/12</f>
        <v/>
      </c>
      <c r="S10" s="25">
        <f>'Team &amp; Overheads'!$E$18/12</f>
        <v/>
      </c>
      <c r="T10" s="26">
        <f>O10+P10*(1-Inputs!$C$39)+Q10+R10+S10</f>
        <v/>
      </c>
      <c r="U10" s="26">
        <f>U9+T10</f>
        <v/>
      </c>
      <c r="V10" s="13">
        <f>'Usage Model'!AN36</f>
        <v/>
      </c>
    </row>
    <row r="11">
      <c r="A11" s="13">
        <f>'Usage Model'!A37</f>
        <v/>
      </c>
      <c r="B11" s="13">
        <f>'Usage Model'!AC37</f>
        <v/>
      </c>
      <c r="C11" s="13">
        <f>'Usage Model'!AD37</f>
        <v/>
      </c>
      <c r="D11" s="13">
        <f>'Usage Model'!AE37</f>
        <v/>
      </c>
      <c r="E11" s="13">
        <f>'Usage Model'!AF37</f>
        <v/>
      </c>
      <c r="F11" s="30">
        <f>D11/100000*Inputs!$C$24</f>
        <v/>
      </c>
      <c r="G11" s="30">
        <f>E11/100000*Inputs!$C$25</f>
        <v/>
      </c>
      <c r="H11" s="30">
        <f>MAX(0,'Usage Model'!AI37-Inputs!$C$29)*Inputs!$C$28</f>
        <v/>
      </c>
      <c r="I11" s="30">
        <f>MAX(0,'Usage Model'!AK37-Inputs!$C$31)*Inputs!$C$30</f>
        <v/>
      </c>
      <c r="J11" s="30">
        <f>MAX(0,'Usage Model'!AL37-Inputs!$C$33)*Inputs!$C$32</f>
        <v/>
      </c>
      <c r="K11" s="30">
        <f>MAX(0,'Usage Model'!AM37-Inputs!$C$35)*Inputs!$C$34</f>
        <v/>
      </c>
      <c r="L11" s="30">
        <f>Inputs!$C$36</f>
        <v/>
      </c>
      <c r="M11" s="30">
        <f>Inputs!$C$37</f>
        <v/>
      </c>
      <c r="N11" s="39">
        <f>SUM(F11:M11)</f>
        <v/>
      </c>
      <c r="O11" s="26">
        <f>N11*Inputs!$C$23</f>
        <v/>
      </c>
      <c r="P11" s="25">
        <f>O11*Inputs!$C$38</f>
        <v/>
      </c>
      <c r="Q11" s="25">
        <f>'AI Costing'!$I$23*Calendar!R11</f>
        <v/>
      </c>
      <c r="R11" s="25">
        <f>'Team &amp; Overheads'!$D$32/12</f>
        <v/>
      </c>
      <c r="S11" s="25">
        <f>'Team &amp; Overheads'!$E$18/12</f>
        <v/>
      </c>
      <c r="T11" s="26">
        <f>O11+P11*(1-Inputs!$C$39)+Q11+R11+S11</f>
        <v/>
      </c>
      <c r="U11" s="26">
        <f>U10+T11</f>
        <v/>
      </c>
      <c r="V11" s="13">
        <f>'Usage Model'!AN37</f>
        <v/>
      </c>
    </row>
    <row r="12">
      <c r="A12" s="13">
        <f>'Usage Model'!A38</f>
        <v/>
      </c>
      <c r="B12" s="13">
        <f>'Usage Model'!AC38</f>
        <v/>
      </c>
      <c r="C12" s="13">
        <f>'Usage Model'!AD38</f>
        <v/>
      </c>
      <c r="D12" s="13">
        <f>'Usage Model'!AE38</f>
        <v/>
      </c>
      <c r="E12" s="13">
        <f>'Usage Model'!AF38</f>
        <v/>
      </c>
      <c r="F12" s="30">
        <f>D12/100000*Inputs!$C$24</f>
        <v/>
      </c>
      <c r="G12" s="30">
        <f>E12/100000*Inputs!$C$25</f>
        <v/>
      </c>
      <c r="H12" s="30">
        <f>MAX(0,'Usage Model'!AI38-Inputs!$C$29)*Inputs!$C$28</f>
        <v/>
      </c>
      <c r="I12" s="30">
        <f>MAX(0,'Usage Model'!AK38-Inputs!$C$31)*Inputs!$C$30</f>
        <v/>
      </c>
      <c r="J12" s="30">
        <f>MAX(0,'Usage Model'!AL38-Inputs!$C$33)*Inputs!$C$32</f>
        <v/>
      </c>
      <c r="K12" s="30">
        <f>MAX(0,'Usage Model'!AM38-Inputs!$C$35)*Inputs!$C$34</f>
        <v/>
      </c>
      <c r="L12" s="30">
        <f>Inputs!$C$36</f>
        <v/>
      </c>
      <c r="M12" s="30">
        <f>Inputs!$C$37</f>
        <v/>
      </c>
      <c r="N12" s="39">
        <f>SUM(F12:M12)</f>
        <v/>
      </c>
      <c r="O12" s="26">
        <f>N12*Inputs!$C$23</f>
        <v/>
      </c>
      <c r="P12" s="25">
        <f>O12*Inputs!$C$38</f>
        <v/>
      </c>
      <c r="Q12" s="25">
        <f>'AI Costing'!$I$23*Calendar!R12</f>
        <v/>
      </c>
      <c r="R12" s="25">
        <f>'Team &amp; Overheads'!$D$32/12</f>
        <v/>
      </c>
      <c r="S12" s="25">
        <f>'Team &amp; Overheads'!$E$18/12</f>
        <v/>
      </c>
      <c r="T12" s="26">
        <f>O12+P12*(1-Inputs!$C$39)+Q12+R12+S12</f>
        <v/>
      </c>
      <c r="U12" s="26">
        <f>U11+T12</f>
        <v/>
      </c>
      <c r="V12" s="13">
        <f>'Usage Model'!AN38</f>
        <v/>
      </c>
    </row>
    <row r="13">
      <c r="A13" s="13">
        <f>'Usage Model'!A39</f>
        <v/>
      </c>
      <c r="B13" s="13">
        <f>'Usage Model'!AC39</f>
        <v/>
      </c>
      <c r="C13" s="13">
        <f>'Usage Model'!AD39</f>
        <v/>
      </c>
      <c r="D13" s="13">
        <f>'Usage Model'!AE39</f>
        <v/>
      </c>
      <c r="E13" s="13">
        <f>'Usage Model'!AF39</f>
        <v/>
      </c>
      <c r="F13" s="30">
        <f>D13/100000*Inputs!$C$24</f>
        <v/>
      </c>
      <c r="G13" s="30">
        <f>E13/100000*Inputs!$C$25</f>
        <v/>
      </c>
      <c r="H13" s="30">
        <f>MAX(0,'Usage Model'!AI39-Inputs!$C$29)*Inputs!$C$28</f>
        <v/>
      </c>
      <c r="I13" s="30">
        <f>MAX(0,'Usage Model'!AK39-Inputs!$C$31)*Inputs!$C$30</f>
        <v/>
      </c>
      <c r="J13" s="30">
        <f>MAX(0,'Usage Model'!AL39-Inputs!$C$33)*Inputs!$C$32</f>
        <v/>
      </c>
      <c r="K13" s="30">
        <f>MAX(0,'Usage Model'!AM39-Inputs!$C$35)*Inputs!$C$34</f>
        <v/>
      </c>
      <c r="L13" s="30">
        <f>Inputs!$C$36</f>
        <v/>
      </c>
      <c r="M13" s="30">
        <f>Inputs!$C$37</f>
        <v/>
      </c>
      <c r="N13" s="39">
        <f>SUM(F13:M13)</f>
        <v/>
      </c>
      <c r="O13" s="26">
        <f>N13*Inputs!$C$23</f>
        <v/>
      </c>
      <c r="P13" s="25">
        <f>O13*Inputs!$C$38</f>
        <v/>
      </c>
      <c r="Q13" s="25">
        <f>'AI Costing'!$I$23*Calendar!R13</f>
        <v/>
      </c>
      <c r="R13" s="25">
        <f>'Team &amp; Overheads'!$D$32/12</f>
        <v/>
      </c>
      <c r="S13" s="25">
        <f>'Team &amp; Overheads'!$E$18/12</f>
        <v/>
      </c>
      <c r="T13" s="26">
        <f>O13+P13*(1-Inputs!$C$39)+Q13+R13+S13</f>
        <v/>
      </c>
      <c r="U13" s="26">
        <f>U12+T13</f>
        <v/>
      </c>
      <c r="V13" s="13">
        <f>'Usage Model'!AN39</f>
        <v/>
      </c>
    </row>
    <row r="14">
      <c r="A14" s="13">
        <f>'Usage Model'!A40</f>
        <v/>
      </c>
      <c r="B14" s="13">
        <f>'Usage Model'!AC40</f>
        <v/>
      </c>
      <c r="C14" s="13">
        <f>'Usage Model'!AD40</f>
        <v/>
      </c>
      <c r="D14" s="13">
        <f>'Usage Model'!AE40</f>
        <v/>
      </c>
      <c r="E14" s="13">
        <f>'Usage Model'!AF40</f>
        <v/>
      </c>
      <c r="F14" s="30">
        <f>D14/100000*Inputs!$C$24</f>
        <v/>
      </c>
      <c r="G14" s="30">
        <f>E14/100000*Inputs!$C$25</f>
        <v/>
      </c>
      <c r="H14" s="30">
        <f>MAX(0,'Usage Model'!AI40-Inputs!$C$29)*Inputs!$C$28</f>
        <v/>
      </c>
      <c r="I14" s="30">
        <f>MAX(0,'Usage Model'!AK40-Inputs!$C$31)*Inputs!$C$30</f>
        <v/>
      </c>
      <c r="J14" s="30">
        <f>MAX(0,'Usage Model'!AL40-Inputs!$C$33)*Inputs!$C$32</f>
        <v/>
      </c>
      <c r="K14" s="30">
        <f>MAX(0,'Usage Model'!AM40-Inputs!$C$35)*Inputs!$C$34</f>
        <v/>
      </c>
      <c r="L14" s="30">
        <f>Inputs!$C$36</f>
        <v/>
      </c>
      <c r="M14" s="30">
        <f>Inputs!$C$37</f>
        <v/>
      </c>
      <c r="N14" s="39">
        <f>SUM(F14:M14)</f>
        <v/>
      </c>
      <c r="O14" s="26">
        <f>N14*Inputs!$C$23</f>
        <v/>
      </c>
      <c r="P14" s="25">
        <f>O14*Inputs!$C$38</f>
        <v/>
      </c>
      <c r="Q14" s="25">
        <f>'AI Costing'!$I$23*Calendar!R14</f>
        <v/>
      </c>
      <c r="R14" s="25">
        <f>'Team &amp; Overheads'!$D$32/12</f>
        <v/>
      </c>
      <c r="S14" s="25">
        <f>'Team &amp; Overheads'!$E$18/12</f>
        <v/>
      </c>
      <c r="T14" s="26">
        <f>O14+P14*(1-Inputs!$C$39)+Q14+R14+S14</f>
        <v/>
      </c>
      <c r="U14" s="26">
        <f>U13+T14</f>
        <v/>
      </c>
      <c r="V14" s="13">
        <f>'Usage Model'!AN40</f>
        <v/>
      </c>
    </row>
    <row r="15">
      <c r="A15" s="13">
        <f>'Usage Model'!A41</f>
        <v/>
      </c>
      <c r="B15" s="13">
        <f>'Usage Model'!AC41</f>
        <v/>
      </c>
      <c r="C15" s="13">
        <f>'Usage Model'!AD41</f>
        <v/>
      </c>
      <c r="D15" s="13">
        <f>'Usage Model'!AE41</f>
        <v/>
      </c>
      <c r="E15" s="13">
        <f>'Usage Model'!AF41</f>
        <v/>
      </c>
      <c r="F15" s="30">
        <f>D15/100000*Inputs!$C$24</f>
        <v/>
      </c>
      <c r="G15" s="30">
        <f>E15/100000*Inputs!$C$25</f>
        <v/>
      </c>
      <c r="H15" s="30">
        <f>MAX(0,'Usage Model'!AI41-Inputs!$C$29)*Inputs!$C$28</f>
        <v/>
      </c>
      <c r="I15" s="30">
        <f>MAX(0,'Usage Model'!AK41-Inputs!$C$31)*Inputs!$C$30</f>
        <v/>
      </c>
      <c r="J15" s="30">
        <f>MAX(0,'Usage Model'!AL41-Inputs!$C$33)*Inputs!$C$32</f>
        <v/>
      </c>
      <c r="K15" s="30">
        <f>MAX(0,'Usage Model'!AM41-Inputs!$C$35)*Inputs!$C$34</f>
        <v/>
      </c>
      <c r="L15" s="30">
        <f>Inputs!$C$36</f>
        <v/>
      </c>
      <c r="M15" s="30">
        <f>Inputs!$C$37</f>
        <v/>
      </c>
      <c r="N15" s="39">
        <f>SUM(F15:M15)</f>
        <v/>
      </c>
      <c r="O15" s="26">
        <f>N15*Inputs!$C$23</f>
        <v/>
      </c>
      <c r="P15" s="25">
        <f>O15*Inputs!$C$38</f>
        <v/>
      </c>
      <c r="Q15" s="25">
        <f>'AI Costing'!$I$23*Calendar!R15</f>
        <v/>
      </c>
      <c r="R15" s="25">
        <f>'Team &amp; Overheads'!$D$32/12</f>
        <v/>
      </c>
      <c r="S15" s="25">
        <f>'Team &amp; Overheads'!$E$18/12</f>
        <v/>
      </c>
      <c r="T15" s="26">
        <f>O15+P15*(1-Inputs!$C$39)+Q15+R15+S15</f>
        <v/>
      </c>
      <c r="U15" s="26">
        <f>U14+T15</f>
        <v/>
      </c>
      <c r="V15" s="13">
        <f>'Usage Model'!AN41</f>
        <v/>
      </c>
    </row>
    <row r="16">
      <c r="A16" s="3" t="inlineStr">
        <is>
          <t>YEAR</t>
        </is>
      </c>
      <c r="B16" s="34">
        <f>SUM(B4:B15)</f>
        <v/>
      </c>
      <c r="C16" s="34">
        <f>SUM(C4:C15)</f>
        <v/>
      </c>
      <c r="D16" s="34">
        <f>SUM(D4:D15)</f>
        <v/>
      </c>
      <c r="E16" s="34">
        <f>SUM(E4:E15)</f>
        <v/>
      </c>
      <c r="F16" s="39">
        <f>SUM(F4:F15)</f>
        <v/>
      </c>
      <c r="G16" s="39">
        <f>SUM(G4:G15)</f>
        <v/>
      </c>
      <c r="H16" s="39">
        <f>SUM(H4:H15)</f>
        <v/>
      </c>
      <c r="I16" s="39">
        <f>SUM(I4:I15)</f>
        <v/>
      </c>
      <c r="J16" s="39">
        <f>SUM(J4:J15)</f>
        <v/>
      </c>
      <c r="K16" s="39">
        <f>SUM(K4:K15)</f>
        <v/>
      </c>
      <c r="L16" s="39">
        <f>SUM(L4:L15)</f>
        <v/>
      </c>
      <c r="M16" s="39">
        <f>SUM(M4:M15)</f>
        <v/>
      </c>
      <c r="N16" s="39">
        <f>SUM(N4:N15)</f>
        <v/>
      </c>
      <c r="O16" s="26">
        <f>SUM(O4:O15)</f>
        <v/>
      </c>
      <c r="P16" s="26">
        <f>SUM(P4:P15)</f>
        <v/>
      </c>
      <c r="Q16" s="26">
        <f>SUM(Q4:Q15)</f>
        <v/>
      </c>
      <c r="R16" s="26">
        <f>SUM(R4:R15)</f>
        <v/>
      </c>
      <c r="S16" s="26">
        <f>SUM(S4:S15)</f>
        <v/>
      </c>
      <c r="T16" s="26">
        <f>SUM(T4:T15)</f>
        <v/>
      </c>
      <c r="V16" s="34">
        <f>MAX(V4:V15)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10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Annual cost summary, usage statistics and break-even</t>
        </is>
      </c>
    </row>
    <row r="2">
      <c r="A2" s="2" t="inlineStr">
        <is>
          <t>Per student = ÷ students · per user = ÷ (students + college staff).</t>
        </is>
      </c>
    </row>
    <row r="3">
      <c r="A3" s="19" t="inlineStr">
        <is>
          <t>Cost line</t>
        </is>
      </c>
      <c r="B3" s="19" t="inlineStr">
        <is>
          <t>₹ per year</t>
        </is>
      </c>
      <c r="C3" s="19" t="inlineStr">
        <is>
          <t>₹ lakh</t>
        </is>
      </c>
      <c r="D3" s="19" t="inlineStr">
        <is>
          <t>Per student / yr</t>
        </is>
      </c>
      <c r="E3" s="19" t="inlineStr">
        <is>
          <t>Per user / yr</t>
        </is>
      </c>
      <c r="F3" s="19" t="inlineStr">
        <is>
          <t>% of recurring</t>
        </is>
      </c>
    </row>
    <row r="4">
      <c r="A4" s="11" t="inlineStr">
        <is>
          <t>Firestore reads</t>
        </is>
      </c>
      <c r="B4" s="25">
        <f>'Monthly Plan'!$F$16*Inputs!$C$23</f>
        <v/>
      </c>
      <c r="C4" s="40">
        <f>B4/100000</f>
        <v/>
      </c>
      <c r="D4" s="29">
        <f>B4/Inputs!$C$6</f>
        <v/>
      </c>
      <c r="E4" s="29">
        <f>B4/Inputs!$C$14</f>
        <v/>
      </c>
      <c r="F4" s="35">
        <f>IF($B$17&gt;0,B4/$B$17,0)</f>
        <v/>
      </c>
    </row>
    <row r="5">
      <c r="A5" s="11" t="inlineStr">
        <is>
          <t>Firestore writes</t>
        </is>
      </c>
      <c r="B5" s="25">
        <f>'Monthly Plan'!$G$16*Inputs!$C$23</f>
        <v/>
      </c>
      <c r="C5" s="40">
        <f>B5/100000</f>
        <v/>
      </c>
      <c r="D5" s="29">
        <f>B5/Inputs!$C$6</f>
        <v/>
      </c>
      <c r="E5" s="29">
        <f>B5/Inputs!$C$14</f>
        <v/>
      </c>
      <c r="F5" s="35">
        <f>IF($B$17&gt;0,B5/$B$17,0)</f>
        <v/>
      </c>
    </row>
    <row r="6">
      <c r="A6" s="11" t="inlineStr">
        <is>
          <t>Firestore storage</t>
        </is>
      </c>
      <c r="B6" s="25">
        <f>'Monthly Plan'!$H$16*Inputs!$C$23</f>
        <v/>
      </c>
      <c r="C6" s="40">
        <f>B6/100000</f>
        <v/>
      </c>
      <c r="D6" s="29">
        <f>B6/Inputs!$C$6</f>
        <v/>
      </c>
      <c r="E6" s="29">
        <f>B6/Inputs!$C$14</f>
        <v/>
      </c>
      <c r="F6" s="35">
        <f>IF($B$17&gt;0,B6/$B$17,0)</f>
        <v/>
      </c>
    </row>
    <row r="7">
      <c r="A7" s="11" t="inlineStr">
        <is>
          <t>Cloud Storage — files stored</t>
        </is>
      </c>
      <c r="B7" s="25">
        <f>'Monthly Plan'!$I$16*Inputs!$C$23</f>
        <v/>
      </c>
      <c r="C7" s="40">
        <f>B7/100000</f>
        <v/>
      </c>
      <c r="D7" s="29">
        <f>B7/Inputs!$C$6</f>
        <v/>
      </c>
      <c r="E7" s="29">
        <f>B7/Inputs!$C$14</f>
        <v/>
      </c>
      <c r="F7" s="35">
        <f>IF($B$17&gt;0,B7/$B$17,0)</f>
        <v/>
      </c>
    </row>
    <row r="8">
      <c r="A8" s="11" t="inlineStr">
        <is>
          <t>Cloud Storage — downloads</t>
        </is>
      </c>
      <c r="B8" s="25">
        <f>'Monthly Plan'!$J$16*Inputs!$C$23</f>
        <v/>
      </c>
      <c r="C8" s="40">
        <f>B8/100000</f>
        <v/>
      </c>
      <c r="D8" s="29">
        <f>B8/Inputs!$C$6</f>
        <v/>
      </c>
      <c r="E8" s="29">
        <f>B8/Inputs!$C$14</f>
        <v/>
      </c>
      <c r="F8" s="35">
        <f>IF($B$17&gt;0,B8/$B$17,0)</f>
        <v/>
      </c>
    </row>
    <row r="9">
      <c r="A9" s="11" t="inlineStr">
        <is>
          <t>Firebase Hosting</t>
        </is>
      </c>
      <c r="B9" s="25">
        <f>'Monthly Plan'!$K$16*Inputs!$C$23</f>
        <v/>
      </c>
      <c r="C9" s="40">
        <f>B9/100000</f>
        <v/>
      </c>
      <c r="D9" s="29">
        <f>B9/Inputs!$C$6</f>
        <v/>
      </c>
      <c r="E9" s="29">
        <f>B9/Inputs!$C$14</f>
        <v/>
      </c>
      <c r="F9" s="35">
        <f>IF($B$17&gt;0,B9/$B$17,0)</f>
        <v/>
      </c>
    </row>
    <row r="10">
      <c r="A10" s="11" t="inlineStr">
        <is>
          <t>Cloud Functions</t>
        </is>
      </c>
      <c r="B10" s="25">
        <f>'Monthly Plan'!$L$16*Inputs!$C$23</f>
        <v/>
      </c>
      <c r="C10" s="40">
        <f>B10/100000</f>
        <v/>
      </c>
      <c r="D10" s="29">
        <f>B10/Inputs!$C$6</f>
        <v/>
      </c>
      <c r="E10" s="29">
        <f>B10/Inputs!$C$14</f>
        <v/>
      </c>
      <c r="F10" s="35">
        <f>IF($B$17&gt;0,B10/$B$17,0)</f>
        <v/>
      </c>
    </row>
    <row r="11">
      <c r="A11" s="11" t="inlineStr">
        <is>
          <t>Fixed items (Artifact Registry, Secret Manager, RTDB)</t>
        </is>
      </c>
      <c r="B11" s="25">
        <f>'Monthly Plan'!$M$16*Inputs!$C$23</f>
        <v/>
      </c>
      <c r="C11" s="40">
        <f>B11/100000</f>
        <v/>
      </c>
      <c r="D11" s="29">
        <f>B11/Inputs!$C$6</f>
        <v/>
      </c>
      <c r="E11" s="29">
        <f>B11/Inputs!$C$14</f>
        <v/>
      </c>
      <c r="F11" s="35">
        <f>IF($B$17&gt;0,B11/$B$17,0)</f>
        <v/>
      </c>
    </row>
    <row r="12">
      <c r="A12" s="32" t="inlineStr">
        <is>
          <t>CLOUD SUBTOTAL (ex-GST)</t>
        </is>
      </c>
      <c r="B12" s="26">
        <f>SUM(B4:B11)</f>
        <v/>
      </c>
      <c r="C12" s="41">
        <f>B12/100000</f>
        <v/>
      </c>
      <c r="D12" s="42">
        <f>B12/Inputs!$C$6</f>
        <v/>
      </c>
      <c r="E12" s="42">
        <f>B12/Inputs!$C$14</f>
        <v/>
      </c>
      <c r="F12" s="23">
        <f>IF($B$17&gt;0,B12/$B$17,0)</f>
        <v/>
      </c>
    </row>
    <row r="13">
      <c r="A13" s="11" t="inlineStr">
        <is>
          <t>GST on cloud treated as cost (0 if recoverable)</t>
        </is>
      </c>
      <c r="B13" s="25">
        <f>'Monthly Plan'!$P$16*(1-Inputs!$C$39)</f>
        <v/>
      </c>
      <c r="C13" s="40">
        <f>B13/100000</f>
        <v/>
      </c>
      <c r="D13" s="29">
        <f>B13/Inputs!$C$6</f>
        <v/>
      </c>
      <c r="E13" s="29">
        <f>B13/Inputs!$C$14</f>
        <v/>
      </c>
      <c r="F13" s="35">
        <f>IF($B$17&gt;0,B13/$B$17,0)</f>
        <v/>
      </c>
    </row>
    <row r="14">
      <c r="A14" s="11" t="inlineStr">
        <is>
          <t>AI / LLM budget</t>
        </is>
      </c>
      <c r="B14" s="25">
        <f>'Monthly Plan'!$Q$16</f>
        <v/>
      </c>
      <c r="C14" s="40">
        <f>B14/100000</f>
        <v/>
      </c>
      <c r="D14" s="29">
        <f>B14/Inputs!$C$6</f>
        <v/>
      </c>
      <c r="E14" s="29">
        <f>B14/Inputs!$C$14</f>
        <v/>
      </c>
      <c r="F14" s="35">
        <f>IF($B$17&gt;0,B14/$B$17,0)</f>
        <v/>
      </c>
    </row>
    <row r="15">
      <c r="A15" s="11" t="inlineStr">
        <is>
          <t>Overheads allocated</t>
        </is>
      </c>
      <c r="B15" s="25">
        <f>'Monthly Plan'!$R$16</f>
        <v/>
      </c>
      <c r="C15" s="40">
        <f>B15/100000</f>
        <v/>
      </c>
      <c r="D15" s="29">
        <f>B15/Inputs!$C$6</f>
        <v/>
      </c>
      <c r="E15" s="29">
        <f>B15/Inputs!$C$14</f>
        <v/>
      </c>
      <c r="F15" s="35">
        <f>IF($B$17&gt;0,B15/$B$17,0)</f>
        <v/>
      </c>
    </row>
    <row r="16">
      <c r="A16" s="11" t="inlineStr">
        <is>
          <t>Team allocated</t>
        </is>
      </c>
      <c r="B16" s="25">
        <f>'Monthly Plan'!$S$16</f>
        <v/>
      </c>
      <c r="C16" s="40">
        <f>B16/100000</f>
        <v/>
      </c>
      <c r="D16" s="29">
        <f>B16/Inputs!$C$6</f>
        <v/>
      </c>
      <c r="E16" s="29">
        <f>B16/Inputs!$C$14</f>
        <v/>
      </c>
      <c r="F16" s="35">
        <f>IF($B$17&gt;0,B16/$B$17,0)</f>
        <v/>
      </c>
    </row>
    <row r="17">
      <c r="A17" s="32" t="inlineStr">
        <is>
          <t>RECURRING TOTAL per year</t>
        </is>
      </c>
      <c r="B17" s="26">
        <f>B12+B13+B14+B15+B16</f>
        <v/>
      </c>
      <c r="C17" s="41">
        <f>B17/100000</f>
        <v/>
      </c>
      <c r="D17" s="42">
        <f>B17/Inputs!$C$6</f>
        <v/>
      </c>
      <c r="E17" s="42">
        <f>B17/Inputs!$C$14</f>
        <v/>
      </c>
      <c r="F17" s="23">
        <f>IF($B$17&gt;0,B17/$B$17,0)</f>
        <v/>
      </c>
    </row>
    <row r="18">
      <c r="A18" s="11" t="inlineStr">
        <is>
          <t>Onboarding out-of-pocket (year 1 only)</t>
        </is>
      </c>
      <c r="B18" s="25">
        <f>'Team &amp; Overheads'!$B$43</f>
        <v/>
      </c>
      <c r="C18" s="40">
        <f>B18/100000</f>
        <v/>
      </c>
      <c r="D18" s="29">
        <f>B18/Inputs!$C$6</f>
        <v/>
      </c>
      <c r="E18" s="29">
        <f>B18/Inputs!$C$14</f>
        <v/>
      </c>
      <c r="F18" s="35">
        <f>IF($B$17&gt;0,B18/$B$17,0)</f>
        <v/>
      </c>
    </row>
    <row r="19">
      <c r="A19" s="32" t="inlineStr">
        <is>
          <t>YEAR-1 TOTAL</t>
        </is>
      </c>
      <c r="B19" s="26">
        <f>B17+B18</f>
        <v/>
      </c>
      <c r="C19" s="41">
        <f>B19/100000</f>
        <v/>
      </c>
      <c r="D19" s="42">
        <f>B19/Inputs!$C$6</f>
        <v/>
      </c>
      <c r="E19" s="42">
        <f>B19/Inputs!$C$14</f>
        <v/>
      </c>
      <c r="F19" s="23">
        <f>IF($B$17&gt;0,B19/$B$17,0)</f>
        <v/>
      </c>
    </row>
    <row r="22">
      <c r="A22" s="19" t="inlineStr">
        <is>
          <t>Usage statistic</t>
        </is>
      </c>
      <c r="B22" s="19" t="inlineStr">
        <is>
          <t>Value</t>
        </is>
      </c>
      <c r="C22" s="19" t="inlineStr"/>
      <c r="D22" s="19" t="inlineStr"/>
      <c r="E22" s="19" t="inlineStr"/>
      <c r="F22" s="19" t="inlineStr"/>
    </row>
    <row r="23">
      <c r="A23" s="11" t="inlineStr">
        <is>
          <t>Firestore reads per year</t>
        </is>
      </c>
      <c r="B23" s="13">
        <f>'Usage Model'!$AC$42</f>
        <v/>
      </c>
    </row>
    <row r="24">
      <c r="A24" s="11" t="inlineStr">
        <is>
          <t xml:space="preserve">  covered by the daily free quota</t>
        </is>
      </c>
      <c r="B24" s="13">
        <f>'Usage Model'!$AC$42-'Usage Model'!$AE$42</f>
        <v/>
      </c>
    </row>
    <row r="25">
      <c r="A25" s="11" t="inlineStr">
        <is>
          <t xml:space="preserve">  share covered by free quota</t>
        </is>
      </c>
      <c r="B25" s="35">
        <f>IF('Usage Model'!$AC$42&gt;0,('Usage Model'!$AC$42-'Usage Model'!$AE$42)/'Usage Model'!$AC$42,0)</f>
        <v/>
      </c>
    </row>
    <row r="26">
      <c r="A26" s="11" t="inlineStr">
        <is>
          <t xml:space="preserve">  billable reads</t>
        </is>
      </c>
      <c r="B26" s="13">
        <f>'Usage Model'!$AE$42</f>
        <v/>
      </c>
    </row>
    <row r="27">
      <c r="A27" s="11" t="inlineStr">
        <is>
          <t>Firestore writes per year</t>
        </is>
      </c>
      <c r="B27" s="13">
        <f>'Usage Model'!$AD$42</f>
        <v/>
      </c>
    </row>
    <row r="28">
      <c r="A28" s="11" t="inlineStr">
        <is>
          <t xml:space="preserve">  covered by the daily free quota</t>
        </is>
      </c>
      <c r="B28" s="13">
        <f>'Usage Model'!$AD$42-'Usage Model'!$AF$42</f>
        <v/>
      </c>
    </row>
    <row r="29">
      <c r="A29" s="11" t="inlineStr">
        <is>
          <t xml:space="preserve">  share covered by free quota</t>
        </is>
      </c>
      <c r="B29" s="35">
        <f>IF('Usage Model'!$AD$42&gt;0,('Usage Model'!$AD$42-'Usage Model'!$AF$42)/'Usage Model'!$AD$42,0)</f>
        <v/>
      </c>
    </row>
    <row r="30">
      <c r="A30" s="11" t="inlineStr">
        <is>
          <t xml:space="preserve">  billable writes</t>
        </is>
      </c>
      <c r="B30" s="13">
        <f>'Usage Model'!$AF$42</f>
        <v/>
      </c>
    </row>
    <row r="31">
      <c r="A31" s="11" t="inlineStr">
        <is>
          <t>Peak reads in a single day</t>
        </is>
      </c>
      <c r="B31" s="13">
        <f>'Usage Model'!$AN$42</f>
        <v/>
      </c>
    </row>
    <row r="32">
      <c r="A32" s="11" t="inlineStr">
        <is>
          <t>Teaching-day reads (steady state)</t>
        </is>
      </c>
      <c r="B32" s="13">
        <f>'Usage Model'!$B$19</f>
        <v/>
      </c>
    </row>
    <row r="33">
      <c r="A33" s="11" t="inlineStr">
        <is>
          <t>Teaching-day writes (steady state)</t>
        </is>
      </c>
      <c r="B33" s="13">
        <f>'Usage Model'!$I$19</f>
        <v/>
      </c>
    </row>
    <row r="34">
      <c r="A34" s="11" t="inlineStr">
        <is>
          <t>IA-day reads / writes</t>
        </is>
      </c>
      <c r="B34" s="13">
        <f>'Usage Model'!$C$19</f>
        <v/>
      </c>
      <c r="C34" s="43">
        <f>'Usage Model'!$J$19</f>
        <v/>
      </c>
    </row>
    <row r="35">
      <c r="A35" s="11" t="inlineStr">
        <is>
          <t>Function invocations per year (free tier 24M)</t>
        </is>
      </c>
      <c r="B35" s="13">
        <f>'Usage Model'!$AG$42</f>
        <v/>
      </c>
    </row>
    <row r="36">
      <c r="A36" s="11" t="inlineStr">
        <is>
          <t>Firestore data at year end (GiB)</t>
        </is>
      </c>
      <c r="B36" s="18">
        <f>'Usage Model'!$AI$42</f>
        <v/>
      </c>
    </row>
    <row r="37">
      <c r="A37" s="11" t="inlineStr">
        <is>
          <t>Files in Cloud Storage at year end (GB)</t>
        </is>
      </c>
      <c r="B37" s="18">
        <f>'Usage Model'!$AK$42</f>
        <v/>
      </c>
    </row>
    <row r="38">
      <c r="A38" s="11" t="inlineStr">
        <is>
          <t>Cloud cost per month (average, ex-GST)</t>
        </is>
      </c>
      <c r="B38" s="25">
        <f>'Annual Summary'!$B$12/12</f>
        <v/>
      </c>
    </row>
    <row r="41">
      <c r="A41" s="19" t="inlineStr">
        <is>
          <t>Break-even (no profit, no loss)</t>
        </is>
      </c>
      <c r="B41" s="19" t="inlineStr">
        <is>
          <t>₹ per year</t>
        </is>
      </c>
      <c r="C41" s="19" t="inlineStr">
        <is>
          <t>₹ lakh</t>
        </is>
      </c>
      <c r="D41" s="19" t="inlineStr">
        <is>
          <t>Per student / yr</t>
        </is>
      </c>
      <c r="E41" s="19" t="inlineStr">
        <is>
          <t>Per user / yr</t>
        </is>
      </c>
      <c r="F41" s="19" t="inlineStr">
        <is>
          <t>Per student / month</t>
        </is>
      </c>
    </row>
    <row r="42">
      <c r="A42" s="11" t="inlineStr">
        <is>
          <t>Cash floor — cloud + AI + overheads only (team treated as already paid)</t>
        </is>
      </c>
      <c r="B42" s="25">
        <f>B12+B13+B14+B15</f>
        <v/>
      </c>
      <c r="C42" s="40">
        <f>B42/100000</f>
        <v/>
      </c>
      <c r="D42" s="26">
        <f>B42/Inputs!$C$6</f>
        <v/>
      </c>
      <c r="E42" s="25">
        <f>B42/Inputs!$C$14</f>
        <v/>
      </c>
      <c r="F42" s="25">
        <f>D42/12</f>
        <v/>
      </c>
    </row>
    <row r="43">
      <c r="A43" s="32" t="inlineStr">
        <is>
          <t>TRUE BREAK-EVEN — recurring cost including the team</t>
        </is>
      </c>
      <c r="B43" s="27">
        <f>B17</f>
        <v/>
      </c>
      <c r="C43" s="40">
        <f>B43/100000</f>
        <v/>
      </c>
      <c r="D43" s="26">
        <f>B43/Inputs!$C$6</f>
        <v/>
      </c>
      <c r="E43" s="25">
        <f>B43/Inputs!$C$14</f>
        <v/>
      </c>
      <c r="F43" s="25">
        <f>D43/12</f>
        <v/>
      </c>
    </row>
    <row r="44">
      <c r="A44" s="11" t="inlineStr">
        <is>
          <t>Break-even + contingency (Inputs)</t>
        </is>
      </c>
      <c r="B44" s="25">
        <f>B17*(1+Inputs!$C$132)</f>
        <v/>
      </c>
      <c r="C44" s="40">
        <f>B44/100000</f>
        <v/>
      </c>
      <c r="D44" s="26">
        <f>B44/Inputs!$C$6</f>
        <v/>
      </c>
      <c r="E44" s="25">
        <f>B44/Inputs!$C$14</f>
        <v/>
      </c>
      <c r="F44" s="25">
        <f>D44/12</f>
        <v/>
      </c>
    </row>
    <row r="45">
      <c r="A45" s="11" t="inlineStr">
        <is>
          <t>Price for target margin — low</t>
        </is>
      </c>
      <c r="B45" s="25">
        <f>B17*(1+Inputs!$C$132)/(1-Inputs!$C$129)</f>
        <v/>
      </c>
      <c r="C45" s="40">
        <f>B45/100000</f>
        <v/>
      </c>
      <c r="D45" s="26">
        <f>B45/Inputs!$C$6</f>
        <v/>
      </c>
      <c r="E45" s="25">
        <f>B45/Inputs!$C$14</f>
        <v/>
      </c>
      <c r="F45" s="25">
        <f>D45/12</f>
        <v/>
      </c>
    </row>
    <row r="46">
      <c r="A46" s="11" t="inlineStr">
        <is>
          <t>Price for target margin — mid</t>
        </is>
      </c>
      <c r="B46" s="25">
        <f>B17*(1+Inputs!$C$132)/(1-Inputs!$C$130)</f>
        <v/>
      </c>
      <c r="C46" s="40">
        <f>B46/100000</f>
        <v/>
      </c>
      <c r="D46" s="26">
        <f>B46/Inputs!$C$6</f>
        <v/>
      </c>
      <c r="E46" s="25">
        <f>B46/Inputs!$C$14</f>
        <v/>
      </c>
      <c r="F46" s="25">
        <f>D46/12</f>
        <v/>
      </c>
    </row>
    <row r="47">
      <c r="A47" s="11" t="inlineStr">
        <is>
          <t>Price for target margin — high</t>
        </is>
      </c>
      <c r="B47" s="25">
        <f>B17*(1+Inputs!$C$132)/(1-Inputs!$C$131)</f>
        <v/>
      </c>
      <c r="C47" s="40">
        <f>B47/100000</f>
        <v/>
      </c>
      <c r="D47" s="26">
        <f>B47/Inputs!$C$6</f>
        <v/>
      </c>
      <c r="E47" s="25">
        <f>B47/Inputs!$C$14</f>
        <v/>
      </c>
      <c r="F47" s="25">
        <f>D47/12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4" customWidth="1" min="15" max="15"/>
    <col width="14" customWidth="1" min="16" max="16"/>
  </cols>
  <sheetData>
    <row r="1">
      <c r="A1" s="1" t="inlineStr">
        <is>
          <t>Pricing &amp; P&amp;L — set your price, read the margin</t>
        </is>
      </c>
    </row>
    <row r="2">
      <c r="A2" s="2" t="inlineStr">
        <is>
          <t>Revenue and costs ex-GST. Costs come from Annual Summary; team &amp; overheads from 'Team &amp; Overheads' (allocation divisor = colleges sharing the team).</t>
        </is>
      </c>
    </row>
    <row r="3">
      <c r="A3" s="9" t="inlineStr">
        <is>
          <t>Pricing inputs</t>
        </is>
      </c>
      <c r="B3" s="10" t="n"/>
    </row>
    <row r="4">
      <c r="A4" s="11" t="inlineStr">
        <is>
          <t>Price per student per year (₹)</t>
        </is>
      </c>
      <c r="B4" s="24" t="n">
        <v>599</v>
      </c>
    </row>
    <row r="5">
      <c r="A5" s="11" t="inlineStr">
        <is>
          <t>Discount offered</t>
        </is>
      </c>
      <c r="B5" s="16" t="n">
        <v>0</v>
      </c>
    </row>
    <row r="6">
      <c r="A6" s="11" t="inlineStr">
        <is>
          <t>Onboarding fee charged in year 1 (₹)</t>
        </is>
      </c>
      <c r="B6" s="24" t="n">
        <v>250000</v>
      </c>
    </row>
    <row r="7">
      <c r="A7" s="11" t="inlineStr">
        <is>
          <t>Annual price escalation from year 2</t>
        </is>
      </c>
      <c r="B7" s="16" t="n">
        <v>0.05</v>
      </c>
    </row>
    <row r="8">
      <c r="A8" s="11" t="inlineStr">
        <is>
          <t>Student growth per year</t>
        </is>
      </c>
      <c r="B8" s="16" t="n">
        <v>0</v>
      </c>
    </row>
    <row r="9">
      <c r="A9" s="11" t="inlineStr">
        <is>
          <t>Cost inflation per year (team &amp; overheads)</t>
        </is>
      </c>
      <c r="B9" s="16" t="n">
        <v>0.1</v>
      </c>
    </row>
    <row r="10">
      <c r="A10" s="11" t="inlineStr">
        <is>
          <t>Contract length (years, for information)</t>
        </is>
      </c>
      <c r="B10" s="12" t="n">
        <v>3</v>
      </c>
    </row>
    <row r="11">
      <c r="A11" s="11" t="inlineStr">
        <is>
          <t>Colleges sharing the team (change on 'Team &amp; Overheads')</t>
        </is>
      </c>
      <c r="B11" s="21">
        <f>'Team &amp; Overheads'!$E$17</f>
        <v/>
      </c>
    </row>
    <row r="12">
      <c r="A12" s="11" t="inlineStr">
        <is>
          <t>Contingency on costs (change on Inputs)</t>
        </is>
      </c>
      <c r="B12" s="35">
        <f>Inputs!$C$132</f>
        <v/>
      </c>
    </row>
    <row r="14">
      <c r="A14" s="9" t="inlineStr">
        <is>
          <t>Year-1 P&amp;L for this college</t>
        </is>
      </c>
      <c r="B14" s="10" t="n"/>
      <c r="C14" s="10" t="n"/>
    </row>
    <row r="15">
      <c r="A15" s="19" t="inlineStr">
        <is>
          <t>Line</t>
        </is>
      </c>
      <c r="B15" s="19" t="inlineStr">
        <is>
          <t>₹</t>
        </is>
      </c>
      <c r="C15" s="19" t="inlineStr">
        <is>
          <t>₹ lakh</t>
        </is>
      </c>
    </row>
    <row r="16">
      <c r="A16" s="11" t="inlineStr">
        <is>
          <t>Students billed</t>
        </is>
      </c>
      <c r="B16" s="13">
        <f>Inputs!$C$6</f>
        <v/>
      </c>
    </row>
    <row r="17">
      <c r="A17" s="11" t="inlineStr">
        <is>
          <t>Subscription revenue = students × price × (1 − discount)</t>
        </is>
      </c>
      <c r="B17" s="25">
        <f>B16*'Pricing &amp; P&amp;L'!$B$4*(1-'Pricing &amp; P&amp;L'!$B$5)</f>
        <v/>
      </c>
      <c r="C17" s="40">
        <f>B17/100000</f>
        <v/>
      </c>
    </row>
    <row r="18">
      <c r="A18" s="11" t="inlineStr">
        <is>
          <t>Onboarding fee revenue</t>
        </is>
      </c>
      <c r="B18" s="25">
        <f>'Pricing &amp; P&amp;L'!$B$6</f>
        <v/>
      </c>
      <c r="C18" s="40">
        <f>B18/100000</f>
        <v/>
      </c>
    </row>
    <row r="19">
      <c r="A19" s="32" t="inlineStr">
        <is>
          <t>TOTAL REVENUE (ex-GST)</t>
        </is>
      </c>
      <c r="B19" s="26">
        <f>B17+B18</f>
        <v/>
      </c>
      <c r="C19" s="40">
        <f>B19/100000</f>
        <v/>
      </c>
    </row>
    <row r="20">
      <c r="A20" s="11" t="inlineStr">
        <is>
          <t>GST you will add on the invoice (information)</t>
        </is>
      </c>
      <c r="B20" s="25">
        <f>B19*Inputs!$C$38</f>
        <v/>
      </c>
      <c r="C20" s="40">
        <f>B20/100000</f>
        <v/>
      </c>
    </row>
    <row r="21">
      <c r="A21" s="11" t="inlineStr">
        <is>
          <t>Cloud — Firebase / Google Cloud (ex-GST)</t>
        </is>
      </c>
      <c r="B21" s="25">
        <f>'Annual Summary'!$B$12</f>
        <v/>
      </c>
      <c r="C21" s="40">
        <f>B21/100000</f>
        <v/>
      </c>
    </row>
    <row r="22">
      <c r="A22" s="11" t="inlineStr">
        <is>
          <t>GST on cloud treated as cost</t>
        </is>
      </c>
      <c r="B22" s="25">
        <f>'Annual Summary'!$B$13</f>
        <v/>
      </c>
      <c r="C22" s="40">
        <f>B22/100000</f>
        <v/>
      </c>
    </row>
    <row r="23">
      <c r="A23" s="11" t="inlineStr">
        <is>
          <t>AI / LLM budget</t>
        </is>
      </c>
      <c r="B23" s="25">
        <f>'Monthly Plan'!$Q$16</f>
        <v/>
      </c>
      <c r="C23" s="40">
        <f>B23/100000</f>
        <v/>
      </c>
    </row>
    <row r="24">
      <c r="A24" s="11" t="inlineStr">
        <is>
          <t>Overheads allocated</t>
        </is>
      </c>
      <c r="B24" s="25">
        <f>'Monthly Plan'!$R$16</f>
        <v/>
      </c>
      <c r="C24" s="40">
        <f>B24/100000</f>
        <v/>
      </c>
    </row>
    <row r="25">
      <c r="A25" s="11" t="inlineStr">
        <is>
          <t>Team allocated</t>
        </is>
      </c>
      <c r="B25" s="25">
        <f>'Monthly Plan'!$S$16</f>
        <v/>
      </c>
      <c r="C25" s="40">
        <f>B25/100000</f>
        <v/>
      </c>
    </row>
    <row r="26">
      <c r="A26" s="11" t="inlineStr">
        <is>
          <t>Onboarding out-of-pocket</t>
        </is>
      </c>
      <c r="B26" s="25">
        <f>'Team &amp; Overheads'!$B$43</f>
        <v/>
      </c>
      <c r="C26" s="40">
        <f>B26/100000</f>
        <v/>
      </c>
    </row>
    <row r="27">
      <c r="A27" s="11" t="inlineStr">
        <is>
          <t>Contingency</t>
        </is>
      </c>
      <c r="B27" s="25">
        <f>SUM(B21:B26)*Inputs!$C$132</f>
        <v/>
      </c>
      <c r="C27" s="40">
        <f>B27/100000</f>
        <v/>
      </c>
    </row>
    <row r="28">
      <c r="A28" s="32" t="inlineStr">
        <is>
          <t>TOTAL COST</t>
        </is>
      </c>
      <c r="B28" s="26">
        <f>SUM(B21:B27)</f>
        <v/>
      </c>
      <c r="C28" s="40">
        <f>B28/100000</f>
        <v/>
      </c>
    </row>
    <row r="29">
      <c r="A29" s="32" t="inlineStr">
        <is>
          <t>GROSS PROFIT</t>
        </is>
      </c>
      <c r="B29" s="26">
        <f>B19-B28</f>
        <v/>
      </c>
      <c r="C29" s="40">
        <f>B29/100000</f>
        <v/>
      </c>
    </row>
    <row r="30">
      <c r="A30" s="32" t="inlineStr">
        <is>
          <t>GROSS MARGIN</t>
        </is>
      </c>
      <c r="B30" s="44">
        <f>IF(B19&gt;0,B29/B19,0)</f>
        <v/>
      </c>
    </row>
    <row r="31">
      <c r="A31" s="11" t="inlineStr">
        <is>
          <t>Profit per student</t>
        </is>
      </c>
      <c r="B31" s="25">
        <f>B29/Inputs!$C$6</f>
        <v/>
      </c>
      <c r="C31" s="40">
        <f>B31/100000</f>
        <v/>
      </c>
    </row>
    <row r="32">
      <c r="A32" s="11" t="inlineStr">
        <is>
          <t>Profit per user</t>
        </is>
      </c>
      <c r="B32" s="25">
        <f>B29/Inputs!$C$14</f>
        <v/>
      </c>
      <c r="C32" s="40">
        <f>B32/100000</f>
        <v/>
      </c>
    </row>
    <row r="33">
      <c r="A33" s="32" t="inlineStr">
        <is>
          <t>Recurring gross margin (years 2+, no onboarding on either side)</t>
        </is>
      </c>
      <c r="B33" s="44">
        <f>IF(B17&gt;0,(B17-(B21+B22+B23+B24+B25)*(1+Inputs!$C$132))/B17,0)</f>
        <v/>
      </c>
    </row>
    <row r="36">
      <c r="A36" s="9" t="inlineStr">
        <is>
          <t>Minimum bid and target prices (recurring basis, per student per year)</t>
        </is>
      </c>
      <c r="B36" s="10" t="n"/>
      <c r="C36" s="10" t="n"/>
      <c r="D36" s="10" t="n"/>
    </row>
    <row r="37">
      <c r="A37" s="19" t="inlineStr">
        <is>
          <t>Basis</t>
        </is>
      </c>
      <c r="B37" s="19" t="inlineStr">
        <is>
          <t>Annual ₹</t>
        </is>
      </c>
      <c r="C37" s="19" t="inlineStr">
        <is>
          <t>Per student / yr</t>
        </is>
      </c>
      <c r="D37" s="19" t="inlineStr">
        <is>
          <t>Per user / yr</t>
        </is>
      </c>
    </row>
    <row r="38">
      <c r="A38" s="11" t="inlineStr">
        <is>
          <t>Break-even — zero margin, zero buffer</t>
        </is>
      </c>
      <c r="B38" s="25">
        <f>'Annual Summary'!$B$17</f>
        <v/>
      </c>
      <c r="C38" s="25">
        <f>B38/Inputs!$C$6</f>
        <v/>
      </c>
      <c r="D38" s="25">
        <f>B38/Inputs!$C$14</f>
        <v/>
      </c>
    </row>
    <row r="39">
      <c r="A39" s="32" t="inlineStr">
        <is>
          <t>MINIMUM BID — break-even + contingency</t>
        </is>
      </c>
      <c r="B39" s="31">
        <f>'Annual Summary'!$B$17*(1+Inputs!$C$132)</f>
        <v/>
      </c>
      <c r="C39" s="26">
        <f>B39/Inputs!$C$6</f>
        <v/>
      </c>
      <c r="D39" s="31">
        <f>B39/Inputs!$C$14</f>
        <v/>
      </c>
    </row>
    <row r="40">
      <c r="A40" s="11" t="inlineStr">
        <is>
          <t>Price for target margin — low</t>
        </is>
      </c>
      <c r="B40" s="25">
        <f>'Annual Summary'!$B$17*(1+Inputs!$C$132)/(1-Inputs!$C$129)</f>
        <v/>
      </c>
      <c r="C40" s="25">
        <f>B40/Inputs!$C$6</f>
        <v/>
      </c>
      <c r="D40" s="25">
        <f>B40/Inputs!$C$14</f>
        <v/>
      </c>
    </row>
    <row r="41">
      <c r="A41" s="11" t="inlineStr">
        <is>
          <t>Price for target margin — mid</t>
        </is>
      </c>
      <c r="B41" s="25">
        <f>'Annual Summary'!$B$17*(1+Inputs!$C$132)/(1-Inputs!$C$130)</f>
        <v/>
      </c>
      <c r="C41" s="25">
        <f>B41/Inputs!$C$6</f>
        <v/>
      </c>
      <c r="D41" s="25">
        <f>B41/Inputs!$C$14</f>
        <v/>
      </c>
    </row>
    <row r="42">
      <c r="A42" s="11" t="inlineStr">
        <is>
          <t>Price for target margin — high</t>
        </is>
      </c>
      <c r="B42" s="25">
        <f>'Annual Summary'!$B$17*(1+Inputs!$C$132)/(1-Inputs!$C$131)</f>
        <v/>
      </c>
      <c r="C42" s="25">
        <f>B42/Inputs!$C$6</f>
        <v/>
      </c>
      <c r="D42" s="25">
        <f>B42/Inputs!$C$14</f>
        <v/>
      </c>
    </row>
    <row r="43">
      <c r="A43" s="32" t="inlineStr">
        <is>
          <t>YOUR PRICE (from inputs above)</t>
        </is>
      </c>
      <c r="B43" s="31">
        <f>'Pricing &amp; P&amp;L'!$B$4*(1-'Pricing &amp; P&amp;L'!$B$5)*Inputs!$C$6</f>
        <v/>
      </c>
      <c r="C43" s="26">
        <f>B43/Inputs!$C$6</f>
        <v/>
      </c>
      <c r="D43" s="31">
        <f>B43/Inputs!$C$14</f>
        <v/>
      </c>
    </row>
    <row r="46">
      <c r="A46" s="9" t="inlineStr">
        <is>
          <t>3-year P&amp;L (students grow, price escalates, team &amp; overheads inflate; cloud &amp; AI scale with students)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19" t="inlineStr">
        <is>
          <t>Year</t>
        </is>
      </c>
      <c r="B47" s="19" t="inlineStr">
        <is>
          <t>Students</t>
        </is>
      </c>
      <c r="C47" s="19" t="inlineStr">
        <is>
          <t>Price / student</t>
        </is>
      </c>
      <c r="D47" s="19" t="inlineStr">
        <is>
          <t>Subscription revenue</t>
        </is>
      </c>
      <c r="E47" s="19" t="inlineStr">
        <is>
          <t>Onboarding revenue</t>
        </is>
      </c>
      <c r="F47" s="19" t="inlineStr">
        <is>
          <t>TOTAL REVENUE</t>
        </is>
      </c>
      <c r="G47" s="19" t="inlineStr">
        <is>
          <t>Cloud + GST cost</t>
        </is>
      </c>
      <c r="H47" s="19" t="inlineStr">
        <is>
          <t>AI</t>
        </is>
      </c>
      <c r="I47" s="19" t="inlineStr">
        <is>
          <t>Overheads</t>
        </is>
      </c>
      <c r="J47" s="19" t="inlineStr">
        <is>
          <t>Team</t>
        </is>
      </c>
      <c r="K47" s="19" t="inlineStr">
        <is>
          <t>Onboarding cost</t>
        </is>
      </c>
      <c r="L47" s="19" t="inlineStr">
        <is>
          <t>Contingency</t>
        </is>
      </c>
      <c r="M47" s="19" t="inlineStr">
        <is>
          <t>TOTAL COST</t>
        </is>
      </c>
      <c r="N47" s="19" t="inlineStr">
        <is>
          <t>GROSS PROFIT</t>
        </is>
      </c>
      <c r="O47" s="19" t="inlineStr">
        <is>
          <t>MARGIN</t>
        </is>
      </c>
      <c r="P47" s="19" t="inlineStr">
        <is>
          <t>Cumulative profit</t>
        </is>
      </c>
    </row>
    <row r="48">
      <c r="A48" s="11" t="inlineStr">
        <is>
          <t>Year 1</t>
        </is>
      </c>
      <c r="B48" s="13">
        <f>ROUND(Inputs!$C$6*(1+'Pricing &amp; P&amp;L'!$B$8)^0,0)</f>
        <v/>
      </c>
      <c r="C48" s="25">
        <f>'Pricing &amp; P&amp;L'!$B$4*(1-'Pricing &amp; P&amp;L'!$B$5)*(1+'Pricing &amp; P&amp;L'!$B$7)^0</f>
        <v/>
      </c>
      <c r="D48" s="25">
        <f>B48*C48</f>
        <v/>
      </c>
      <c r="E48" s="25">
        <f>'Pricing &amp; P&amp;L'!$B$6</f>
        <v/>
      </c>
      <c r="F48" s="26">
        <f>D48+E48</f>
        <v/>
      </c>
      <c r="G48" s="25">
        <f>('Annual Summary'!$B$12+'Annual Summary'!$B$13)*B48/Inputs!$C$6</f>
        <v/>
      </c>
      <c r="H48" s="25">
        <f>'Monthly Plan'!$Q$16*B48/Inputs!$C$6</f>
        <v/>
      </c>
      <c r="I48" s="25">
        <f>'Monthly Plan'!$R$16*(1+'Pricing &amp; P&amp;L'!$B$9)^0</f>
        <v/>
      </c>
      <c r="J48" s="25">
        <f>'Monthly Plan'!$S$16*(1+'Pricing &amp; P&amp;L'!$B$9)^0</f>
        <v/>
      </c>
      <c r="K48" s="25">
        <f>'Team &amp; Overheads'!$B$43</f>
        <v/>
      </c>
      <c r="L48" s="25">
        <f>SUM(G48:K48)*Inputs!$C$132</f>
        <v/>
      </c>
      <c r="M48" s="26">
        <f>SUM(G48:L48)</f>
        <v/>
      </c>
      <c r="N48" s="26">
        <f>F48-M48</f>
        <v/>
      </c>
      <c r="O48" s="44">
        <f>IF(F48&gt;0,N48/F48,0)</f>
        <v/>
      </c>
      <c r="P48" s="26">
        <f>N48</f>
        <v/>
      </c>
    </row>
    <row r="49">
      <c r="A49" s="11" t="inlineStr">
        <is>
          <t>Year 2</t>
        </is>
      </c>
      <c r="B49" s="13">
        <f>ROUND(Inputs!$C$6*(1+'Pricing &amp; P&amp;L'!$B$8)^1,0)</f>
        <v/>
      </c>
      <c r="C49" s="25">
        <f>'Pricing &amp; P&amp;L'!$B$4*(1-'Pricing &amp; P&amp;L'!$B$5)*(1+'Pricing &amp; P&amp;L'!$B$7)^1</f>
        <v/>
      </c>
      <c r="D49" s="25">
        <f>B49*C49</f>
        <v/>
      </c>
      <c r="E49" s="25">
        <f>0</f>
        <v/>
      </c>
      <c r="F49" s="26">
        <f>D49+E49</f>
        <v/>
      </c>
      <c r="G49" s="25">
        <f>('Annual Summary'!$B$12+'Annual Summary'!$B$13)*B49/Inputs!$C$6</f>
        <v/>
      </c>
      <c r="H49" s="25">
        <f>'Monthly Plan'!$Q$16*B49/Inputs!$C$6</f>
        <v/>
      </c>
      <c r="I49" s="25">
        <f>'Monthly Plan'!$R$16*(1+'Pricing &amp; P&amp;L'!$B$9)^1</f>
        <v/>
      </c>
      <c r="J49" s="25">
        <f>'Monthly Plan'!$S$16*(1+'Pricing &amp; P&amp;L'!$B$9)^1</f>
        <v/>
      </c>
      <c r="K49" s="25">
        <f>0</f>
        <v/>
      </c>
      <c r="L49" s="25">
        <f>SUM(G49:K49)*Inputs!$C$132</f>
        <v/>
      </c>
      <c r="M49" s="26">
        <f>SUM(G49:L49)</f>
        <v/>
      </c>
      <c r="N49" s="26">
        <f>F49-M49</f>
        <v/>
      </c>
      <c r="O49" s="44">
        <f>IF(F49&gt;0,N49/F49,0)</f>
        <v/>
      </c>
      <c r="P49" s="26">
        <f>P48+N49</f>
        <v/>
      </c>
    </row>
    <row r="50">
      <c r="A50" s="11" t="inlineStr">
        <is>
          <t>Year 3</t>
        </is>
      </c>
      <c r="B50" s="13">
        <f>ROUND(Inputs!$C$6*(1+'Pricing &amp; P&amp;L'!$B$8)^2,0)</f>
        <v/>
      </c>
      <c r="C50" s="25">
        <f>'Pricing &amp; P&amp;L'!$B$4*(1-'Pricing &amp; P&amp;L'!$B$5)*(1+'Pricing &amp; P&amp;L'!$B$7)^2</f>
        <v/>
      </c>
      <c r="D50" s="25">
        <f>B50*C50</f>
        <v/>
      </c>
      <c r="E50" s="25">
        <f>0</f>
        <v/>
      </c>
      <c r="F50" s="26">
        <f>D50+E50</f>
        <v/>
      </c>
      <c r="G50" s="25">
        <f>('Annual Summary'!$B$12+'Annual Summary'!$B$13)*B50/Inputs!$C$6</f>
        <v/>
      </c>
      <c r="H50" s="25">
        <f>'Monthly Plan'!$Q$16*B50/Inputs!$C$6</f>
        <v/>
      </c>
      <c r="I50" s="25">
        <f>'Monthly Plan'!$R$16*(1+'Pricing &amp; P&amp;L'!$B$9)^2</f>
        <v/>
      </c>
      <c r="J50" s="25">
        <f>'Monthly Plan'!$S$16*(1+'Pricing &amp; P&amp;L'!$B$9)^2</f>
        <v/>
      </c>
      <c r="K50" s="25">
        <f>0</f>
        <v/>
      </c>
      <c r="L50" s="25">
        <f>SUM(G50:K50)*Inputs!$C$132</f>
        <v/>
      </c>
      <c r="M50" s="26">
        <f>SUM(G50:L50)</f>
        <v/>
      </c>
      <c r="N50" s="26">
        <f>F50-M50</f>
        <v/>
      </c>
      <c r="O50" s="44">
        <f>IF(F50&gt;0,N50/F50,0)</f>
        <v/>
      </c>
      <c r="P50" s="26">
        <f>P49+N50</f>
        <v/>
      </c>
    </row>
    <row r="51">
      <c r="A51" s="3" t="inlineStr">
        <is>
          <t>3-YEAR TOTAL</t>
        </is>
      </c>
      <c r="D51" s="26">
        <f>SUM(D48:D50)</f>
        <v/>
      </c>
      <c r="E51" s="26">
        <f>SUM(E48:E50)</f>
        <v/>
      </c>
      <c r="F51" s="26">
        <f>SUM(F48:F50)</f>
        <v/>
      </c>
      <c r="G51" s="26">
        <f>SUM(G48:G50)</f>
        <v/>
      </c>
      <c r="H51" s="26">
        <f>SUM(H48:H50)</f>
        <v/>
      </c>
      <c r="I51" s="26">
        <f>SUM(I48:I50)</f>
        <v/>
      </c>
      <c r="J51" s="26">
        <f>SUM(J48:J50)</f>
        <v/>
      </c>
      <c r="K51" s="26">
        <f>SUM(K48:K50)</f>
        <v/>
      </c>
      <c r="L51" s="26">
        <f>SUM(L48:L50)</f>
        <v/>
      </c>
      <c r="M51" s="26">
        <f>SUM(M48:M50)</f>
        <v/>
      </c>
      <c r="N51" s="26">
        <f>SUM(N48:N50)</f>
        <v/>
      </c>
      <c r="O51" s="44">
        <f>IF(F51&gt;0,N51/F51,0)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— gross margin by price × colleges sharing the team; break-even by college size</t>
        </is>
      </c>
    </row>
    <row r="2">
      <c r="A2" s="2" t="inlineStr">
        <is>
          <t>Recurring basis (no onboarding on either side), contingency applied. Edit the yellow row/column headers.</t>
        </is>
      </c>
    </row>
    <row r="3">
      <c r="A3" s="3" t="inlineStr">
        <is>
          <t>Gross margin %  (rows: price per student per year · columns: colleges sharing the team)</t>
        </is>
      </c>
    </row>
    <row r="4">
      <c r="A4" s="11" t="inlineStr">
        <is>
          <t>Price ₹ / student / yr  ↓   Colleges →</t>
        </is>
      </c>
      <c r="B4" s="45" t="n">
        <v>1</v>
      </c>
      <c r="C4" s="45" t="n">
        <v>2</v>
      </c>
      <c r="D4" s="45" t="n">
        <v>3</v>
      </c>
      <c r="E4" s="45" t="n">
        <v>5</v>
      </c>
      <c r="F4" s="45" t="n">
        <v>8</v>
      </c>
    </row>
    <row r="5">
      <c r="A5" s="24" t="n">
        <v>349</v>
      </c>
      <c r="B5" s="35">
        <f>IF($A5*Inputs!$C$6&gt;0,1-(('Annual Summary'!$B$12+'Annual Summary'!$B$13+'Monthly Plan'!$Q$16+'Team &amp; Overheads'!$D$34)+('Team &amp; Overheads'!$E$14+'Team &amp; Overheads'!$D$33)/B$4)*(1+Inputs!$C$132)/($A5*Inputs!$C$6),0)</f>
        <v/>
      </c>
      <c r="C5" s="35">
        <f>IF($A5*Inputs!$C$6&gt;0,1-(('Annual Summary'!$B$12+'Annual Summary'!$B$13+'Monthly Plan'!$Q$16+'Team &amp; Overheads'!$D$34)+('Team &amp; Overheads'!$E$14+'Team &amp; Overheads'!$D$33)/C$4)*(1+Inputs!$C$132)/($A5*Inputs!$C$6),0)</f>
        <v/>
      </c>
      <c r="D5" s="35">
        <f>IF($A5*Inputs!$C$6&gt;0,1-(('Annual Summary'!$B$12+'Annual Summary'!$B$13+'Monthly Plan'!$Q$16+'Team &amp; Overheads'!$D$34)+('Team &amp; Overheads'!$E$14+'Team &amp; Overheads'!$D$33)/D$4)*(1+Inputs!$C$132)/($A5*Inputs!$C$6),0)</f>
        <v/>
      </c>
      <c r="E5" s="35">
        <f>IF($A5*Inputs!$C$6&gt;0,1-(('Annual Summary'!$B$12+'Annual Summary'!$B$13+'Monthly Plan'!$Q$16+'Team &amp; Overheads'!$D$34)+('Team &amp; Overheads'!$E$14+'Team &amp; Overheads'!$D$33)/E$4)*(1+Inputs!$C$132)/($A5*Inputs!$C$6),0)</f>
        <v/>
      </c>
      <c r="F5" s="35">
        <f>IF($A5*Inputs!$C$6&gt;0,1-(('Annual Summary'!$B$12+'Annual Summary'!$B$13+'Monthly Plan'!$Q$16+'Team &amp; Overheads'!$D$34)+('Team &amp; Overheads'!$E$14+'Team &amp; Overheads'!$D$33)/F$4)*(1+Inputs!$C$132)/($A5*Inputs!$C$6),0)</f>
        <v/>
      </c>
    </row>
    <row r="6">
      <c r="A6" s="24" t="n">
        <v>399</v>
      </c>
      <c r="B6" s="35">
        <f>IF($A6*Inputs!$C$6&gt;0,1-(('Annual Summary'!$B$12+'Annual Summary'!$B$13+'Monthly Plan'!$Q$16+'Team &amp; Overheads'!$D$34)+('Team &amp; Overheads'!$E$14+'Team &amp; Overheads'!$D$33)/B$4)*(1+Inputs!$C$132)/($A6*Inputs!$C$6),0)</f>
        <v/>
      </c>
      <c r="C6" s="35">
        <f>IF($A6*Inputs!$C$6&gt;0,1-(('Annual Summary'!$B$12+'Annual Summary'!$B$13+'Monthly Plan'!$Q$16+'Team &amp; Overheads'!$D$34)+('Team &amp; Overheads'!$E$14+'Team &amp; Overheads'!$D$33)/C$4)*(1+Inputs!$C$132)/($A6*Inputs!$C$6),0)</f>
        <v/>
      </c>
      <c r="D6" s="35">
        <f>IF($A6*Inputs!$C$6&gt;0,1-(('Annual Summary'!$B$12+'Annual Summary'!$B$13+'Monthly Plan'!$Q$16+'Team &amp; Overheads'!$D$34)+('Team &amp; Overheads'!$E$14+'Team &amp; Overheads'!$D$33)/D$4)*(1+Inputs!$C$132)/($A6*Inputs!$C$6),0)</f>
        <v/>
      </c>
      <c r="E6" s="35">
        <f>IF($A6*Inputs!$C$6&gt;0,1-(('Annual Summary'!$B$12+'Annual Summary'!$B$13+'Monthly Plan'!$Q$16+'Team &amp; Overheads'!$D$34)+('Team &amp; Overheads'!$E$14+'Team &amp; Overheads'!$D$33)/E$4)*(1+Inputs!$C$132)/($A6*Inputs!$C$6),0)</f>
        <v/>
      </c>
      <c r="F6" s="35">
        <f>IF($A6*Inputs!$C$6&gt;0,1-(('Annual Summary'!$B$12+'Annual Summary'!$B$13+'Monthly Plan'!$Q$16+'Team &amp; Overheads'!$D$34)+('Team &amp; Overheads'!$E$14+'Team &amp; Overheads'!$D$33)/F$4)*(1+Inputs!$C$132)/($A6*Inputs!$C$6),0)</f>
        <v/>
      </c>
    </row>
    <row r="7">
      <c r="A7" s="24" t="n">
        <v>449</v>
      </c>
      <c r="B7" s="35">
        <f>IF($A7*Inputs!$C$6&gt;0,1-(('Annual Summary'!$B$12+'Annual Summary'!$B$13+'Monthly Plan'!$Q$16+'Team &amp; Overheads'!$D$34)+('Team &amp; Overheads'!$E$14+'Team &amp; Overheads'!$D$33)/B$4)*(1+Inputs!$C$132)/($A7*Inputs!$C$6),0)</f>
        <v/>
      </c>
      <c r="C7" s="35">
        <f>IF($A7*Inputs!$C$6&gt;0,1-(('Annual Summary'!$B$12+'Annual Summary'!$B$13+'Monthly Plan'!$Q$16+'Team &amp; Overheads'!$D$34)+('Team &amp; Overheads'!$E$14+'Team &amp; Overheads'!$D$33)/C$4)*(1+Inputs!$C$132)/($A7*Inputs!$C$6),0)</f>
        <v/>
      </c>
      <c r="D7" s="35">
        <f>IF($A7*Inputs!$C$6&gt;0,1-(('Annual Summary'!$B$12+'Annual Summary'!$B$13+'Monthly Plan'!$Q$16+'Team &amp; Overheads'!$D$34)+('Team &amp; Overheads'!$E$14+'Team &amp; Overheads'!$D$33)/D$4)*(1+Inputs!$C$132)/($A7*Inputs!$C$6),0)</f>
        <v/>
      </c>
      <c r="E7" s="35">
        <f>IF($A7*Inputs!$C$6&gt;0,1-(('Annual Summary'!$B$12+'Annual Summary'!$B$13+'Monthly Plan'!$Q$16+'Team &amp; Overheads'!$D$34)+('Team &amp; Overheads'!$E$14+'Team &amp; Overheads'!$D$33)/E$4)*(1+Inputs!$C$132)/($A7*Inputs!$C$6),0)</f>
        <v/>
      </c>
      <c r="F7" s="35">
        <f>IF($A7*Inputs!$C$6&gt;0,1-(('Annual Summary'!$B$12+'Annual Summary'!$B$13+'Monthly Plan'!$Q$16+'Team &amp; Overheads'!$D$34)+('Team &amp; Overheads'!$E$14+'Team &amp; Overheads'!$D$33)/F$4)*(1+Inputs!$C$132)/($A7*Inputs!$C$6),0)</f>
        <v/>
      </c>
    </row>
    <row r="8">
      <c r="A8" s="24" t="n">
        <v>499</v>
      </c>
      <c r="B8" s="35">
        <f>IF($A8*Inputs!$C$6&gt;0,1-(('Annual Summary'!$B$12+'Annual Summary'!$B$13+'Monthly Plan'!$Q$16+'Team &amp; Overheads'!$D$34)+('Team &amp; Overheads'!$E$14+'Team &amp; Overheads'!$D$33)/B$4)*(1+Inputs!$C$132)/($A8*Inputs!$C$6),0)</f>
        <v/>
      </c>
      <c r="C8" s="35">
        <f>IF($A8*Inputs!$C$6&gt;0,1-(('Annual Summary'!$B$12+'Annual Summary'!$B$13+'Monthly Plan'!$Q$16+'Team &amp; Overheads'!$D$34)+('Team &amp; Overheads'!$E$14+'Team &amp; Overheads'!$D$33)/C$4)*(1+Inputs!$C$132)/($A8*Inputs!$C$6),0)</f>
        <v/>
      </c>
      <c r="D8" s="35">
        <f>IF($A8*Inputs!$C$6&gt;0,1-(('Annual Summary'!$B$12+'Annual Summary'!$B$13+'Monthly Plan'!$Q$16+'Team &amp; Overheads'!$D$34)+('Team &amp; Overheads'!$E$14+'Team &amp; Overheads'!$D$33)/D$4)*(1+Inputs!$C$132)/($A8*Inputs!$C$6),0)</f>
        <v/>
      </c>
      <c r="E8" s="35">
        <f>IF($A8*Inputs!$C$6&gt;0,1-(('Annual Summary'!$B$12+'Annual Summary'!$B$13+'Monthly Plan'!$Q$16+'Team &amp; Overheads'!$D$34)+('Team &amp; Overheads'!$E$14+'Team &amp; Overheads'!$D$33)/E$4)*(1+Inputs!$C$132)/($A8*Inputs!$C$6),0)</f>
        <v/>
      </c>
      <c r="F8" s="35">
        <f>IF($A8*Inputs!$C$6&gt;0,1-(('Annual Summary'!$B$12+'Annual Summary'!$B$13+'Monthly Plan'!$Q$16+'Team &amp; Overheads'!$D$34)+('Team &amp; Overheads'!$E$14+'Team &amp; Overheads'!$D$33)/F$4)*(1+Inputs!$C$132)/($A8*Inputs!$C$6),0)</f>
        <v/>
      </c>
    </row>
    <row r="9">
      <c r="A9" s="24" t="n">
        <v>549</v>
      </c>
      <c r="B9" s="35">
        <f>IF($A9*Inputs!$C$6&gt;0,1-(('Annual Summary'!$B$12+'Annual Summary'!$B$13+'Monthly Plan'!$Q$16+'Team &amp; Overheads'!$D$34)+('Team &amp; Overheads'!$E$14+'Team &amp; Overheads'!$D$33)/B$4)*(1+Inputs!$C$132)/($A9*Inputs!$C$6),0)</f>
        <v/>
      </c>
      <c r="C9" s="35">
        <f>IF($A9*Inputs!$C$6&gt;0,1-(('Annual Summary'!$B$12+'Annual Summary'!$B$13+'Monthly Plan'!$Q$16+'Team &amp; Overheads'!$D$34)+('Team &amp; Overheads'!$E$14+'Team &amp; Overheads'!$D$33)/C$4)*(1+Inputs!$C$132)/($A9*Inputs!$C$6),0)</f>
        <v/>
      </c>
      <c r="D9" s="35">
        <f>IF($A9*Inputs!$C$6&gt;0,1-(('Annual Summary'!$B$12+'Annual Summary'!$B$13+'Monthly Plan'!$Q$16+'Team &amp; Overheads'!$D$34)+('Team &amp; Overheads'!$E$14+'Team &amp; Overheads'!$D$33)/D$4)*(1+Inputs!$C$132)/($A9*Inputs!$C$6),0)</f>
        <v/>
      </c>
      <c r="E9" s="35">
        <f>IF($A9*Inputs!$C$6&gt;0,1-(('Annual Summary'!$B$12+'Annual Summary'!$B$13+'Monthly Plan'!$Q$16+'Team &amp; Overheads'!$D$34)+('Team &amp; Overheads'!$E$14+'Team &amp; Overheads'!$D$33)/E$4)*(1+Inputs!$C$132)/($A9*Inputs!$C$6),0)</f>
        <v/>
      </c>
      <c r="F9" s="35">
        <f>IF($A9*Inputs!$C$6&gt;0,1-(('Annual Summary'!$B$12+'Annual Summary'!$B$13+'Monthly Plan'!$Q$16+'Team &amp; Overheads'!$D$34)+('Team &amp; Overheads'!$E$14+'Team &amp; Overheads'!$D$33)/F$4)*(1+Inputs!$C$132)/($A9*Inputs!$C$6),0)</f>
        <v/>
      </c>
    </row>
    <row r="10">
      <c r="A10" s="24" t="n">
        <v>599</v>
      </c>
      <c r="B10" s="35">
        <f>IF($A10*Inputs!$C$6&gt;0,1-(('Annual Summary'!$B$12+'Annual Summary'!$B$13+'Monthly Plan'!$Q$16+'Team &amp; Overheads'!$D$34)+('Team &amp; Overheads'!$E$14+'Team &amp; Overheads'!$D$33)/B$4)*(1+Inputs!$C$132)/($A10*Inputs!$C$6),0)</f>
        <v/>
      </c>
      <c r="C10" s="35">
        <f>IF($A10*Inputs!$C$6&gt;0,1-(('Annual Summary'!$B$12+'Annual Summary'!$B$13+'Monthly Plan'!$Q$16+'Team &amp; Overheads'!$D$34)+('Team &amp; Overheads'!$E$14+'Team &amp; Overheads'!$D$33)/C$4)*(1+Inputs!$C$132)/($A10*Inputs!$C$6),0)</f>
        <v/>
      </c>
      <c r="D10" s="35">
        <f>IF($A10*Inputs!$C$6&gt;0,1-(('Annual Summary'!$B$12+'Annual Summary'!$B$13+'Monthly Plan'!$Q$16+'Team &amp; Overheads'!$D$34)+('Team &amp; Overheads'!$E$14+'Team &amp; Overheads'!$D$33)/D$4)*(1+Inputs!$C$132)/($A10*Inputs!$C$6),0)</f>
        <v/>
      </c>
      <c r="E10" s="35">
        <f>IF($A10*Inputs!$C$6&gt;0,1-(('Annual Summary'!$B$12+'Annual Summary'!$B$13+'Monthly Plan'!$Q$16+'Team &amp; Overheads'!$D$34)+('Team &amp; Overheads'!$E$14+'Team &amp; Overheads'!$D$33)/E$4)*(1+Inputs!$C$132)/($A10*Inputs!$C$6),0)</f>
        <v/>
      </c>
      <c r="F10" s="35">
        <f>IF($A10*Inputs!$C$6&gt;0,1-(('Annual Summary'!$B$12+'Annual Summary'!$B$13+'Monthly Plan'!$Q$16+'Team &amp; Overheads'!$D$34)+('Team &amp; Overheads'!$E$14+'Team &amp; Overheads'!$D$33)/F$4)*(1+Inputs!$C$132)/($A10*Inputs!$C$6),0)</f>
        <v/>
      </c>
    </row>
    <row r="11">
      <c r="A11" s="24" t="n">
        <v>649</v>
      </c>
      <c r="B11" s="35">
        <f>IF($A11*Inputs!$C$6&gt;0,1-(('Annual Summary'!$B$12+'Annual Summary'!$B$13+'Monthly Plan'!$Q$16+'Team &amp; Overheads'!$D$34)+('Team &amp; Overheads'!$E$14+'Team &amp; Overheads'!$D$33)/B$4)*(1+Inputs!$C$132)/($A11*Inputs!$C$6),0)</f>
        <v/>
      </c>
      <c r="C11" s="35">
        <f>IF($A11*Inputs!$C$6&gt;0,1-(('Annual Summary'!$B$12+'Annual Summary'!$B$13+'Monthly Plan'!$Q$16+'Team &amp; Overheads'!$D$34)+('Team &amp; Overheads'!$E$14+'Team &amp; Overheads'!$D$33)/C$4)*(1+Inputs!$C$132)/($A11*Inputs!$C$6),0)</f>
        <v/>
      </c>
      <c r="D11" s="35">
        <f>IF($A11*Inputs!$C$6&gt;0,1-(('Annual Summary'!$B$12+'Annual Summary'!$B$13+'Monthly Plan'!$Q$16+'Team &amp; Overheads'!$D$34)+('Team &amp; Overheads'!$E$14+'Team &amp; Overheads'!$D$33)/D$4)*(1+Inputs!$C$132)/($A11*Inputs!$C$6),0)</f>
        <v/>
      </c>
      <c r="E11" s="35">
        <f>IF($A11*Inputs!$C$6&gt;0,1-(('Annual Summary'!$B$12+'Annual Summary'!$B$13+'Monthly Plan'!$Q$16+'Team &amp; Overheads'!$D$34)+('Team &amp; Overheads'!$E$14+'Team &amp; Overheads'!$D$33)/E$4)*(1+Inputs!$C$132)/($A11*Inputs!$C$6),0)</f>
        <v/>
      </c>
      <c r="F11" s="35">
        <f>IF($A11*Inputs!$C$6&gt;0,1-(('Annual Summary'!$B$12+'Annual Summary'!$B$13+'Monthly Plan'!$Q$16+'Team &amp; Overheads'!$D$34)+('Team &amp; Overheads'!$E$14+'Team &amp; Overheads'!$D$33)/F$4)*(1+Inputs!$C$132)/($A11*Inputs!$C$6),0)</f>
        <v/>
      </c>
    </row>
    <row r="12">
      <c r="A12" s="24" t="n">
        <v>699</v>
      </c>
      <c r="B12" s="35">
        <f>IF($A12*Inputs!$C$6&gt;0,1-(('Annual Summary'!$B$12+'Annual Summary'!$B$13+'Monthly Plan'!$Q$16+'Team &amp; Overheads'!$D$34)+('Team &amp; Overheads'!$E$14+'Team &amp; Overheads'!$D$33)/B$4)*(1+Inputs!$C$132)/($A12*Inputs!$C$6),0)</f>
        <v/>
      </c>
      <c r="C12" s="35">
        <f>IF($A12*Inputs!$C$6&gt;0,1-(('Annual Summary'!$B$12+'Annual Summary'!$B$13+'Monthly Plan'!$Q$16+'Team &amp; Overheads'!$D$34)+('Team &amp; Overheads'!$E$14+'Team &amp; Overheads'!$D$33)/C$4)*(1+Inputs!$C$132)/($A12*Inputs!$C$6),0)</f>
        <v/>
      </c>
      <c r="D12" s="35">
        <f>IF($A12*Inputs!$C$6&gt;0,1-(('Annual Summary'!$B$12+'Annual Summary'!$B$13+'Monthly Plan'!$Q$16+'Team &amp; Overheads'!$D$34)+('Team &amp; Overheads'!$E$14+'Team &amp; Overheads'!$D$33)/D$4)*(1+Inputs!$C$132)/($A12*Inputs!$C$6),0)</f>
        <v/>
      </c>
      <c r="E12" s="35">
        <f>IF($A12*Inputs!$C$6&gt;0,1-(('Annual Summary'!$B$12+'Annual Summary'!$B$13+'Monthly Plan'!$Q$16+'Team &amp; Overheads'!$D$34)+('Team &amp; Overheads'!$E$14+'Team &amp; Overheads'!$D$33)/E$4)*(1+Inputs!$C$132)/($A12*Inputs!$C$6),0)</f>
        <v/>
      </c>
      <c r="F12" s="35">
        <f>IF($A12*Inputs!$C$6&gt;0,1-(('Annual Summary'!$B$12+'Annual Summary'!$B$13+'Monthly Plan'!$Q$16+'Team &amp; Overheads'!$D$34)+('Team &amp; Overheads'!$E$14+'Team &amp; Overheads'!$D$33)/F$4)*(1+Inputs!$C$132)/($A12*Inputs!$C$6),0)</f>
        <v/>
      </c>
    </row>
    <row r="14">
      <c r="A14" s="2" t="inlineStr">
        <is>
          <t>Green ≥ 30% · amber 15–30% · red &lt; 15%</t>
        </is>
      </c>
    </row>
    <row r="16">
      <c r="A16" s="3" t="inlineStr">
        <is>
          <t>Break-even price ₹ / student / yr  (rows: students in the college · columns: colleges sharing the team)</t>
        </is>
      </c>
    </row>
    <row r="17">
      <c r="A17" s="11" t="inlineStr">
        <is>
          <t>Students ↓   Colleges →</t>
        </is>
      </c>
      <c r="B17" s="22">
        <f>B4</f>
        <v/>
      </c>
      <c r="C17" s="22">
        <f>C4</f>
        <v/>
      </c>
      <c r="D17" s="22">
        <f>D4</f>
        <v/>
      </c>
      <c r="E17" s="22">
        <f>E4</f>
        <v/>
      </c>
      <c r="F17" s="22">
        <f>F4</f>
        <v/>
      </c>
    </row>
    <row r="18">
      <c r="A18" s="12" t="n">
        <v>2000</v>
      </c>
      <c r="B18" s="25">
        <f>((('Annual Summary'!$B$12+'Annual Summary'!$B$13+'Monthly Plan'!$Q$16)/Inputs!$C$6)*$A18+'Team &amp; Overheads'!$D$34+('Team &amp; Overheads'!$E$14+'Team &amp; Overheads'!$D$33)/B$17)*(1+Inputs!$C$132)/$A18</f>
        <v/>
      </c>
      <c r="C18" s="25">
        <f>((('Annual Summary'!$B$12+'Annual Summary'!$B$13+'Monthly Plan'!$Q$16)/Inputs!$C$6)*$A18+'Team &amp; Overheads'!$D$34+('Team &amp; Overheads'!$E$14+'Team &amp; Overheads'!$D$33)/C$17)*(1+Inputs!$C$132)/$A18</f>
        <v/>
      </c>
      <c r="D18" s="25">
        <f>((('Annual Summary'!$B$12+'Annual Summary'!$B$13+'Monthly Plan'!$Q$16)/Inputs!$C$6)*$A18+'Team &amp; Overheads'!$D$34+('Team &amp; Overheads'!$E$14+'Team &amp; Overheads'!$D$33)/D$17)*(1+Inputs!$C$132)/$A18</f>
        <v/>
      </c>
      <c r="E18" s="25">
        <f>((('Annual Summary'!$B$12+'Annual Summary'!$B$13+'Monthly Plan'!$Q$16)/Inputs!$C$6)*$A18+'Team &amp; Overheads'!$D$34+('Team &amp; Overheads'!$E$14+'Team &amp; Overheads'!$D$33)/E$17)*(1+Inputs!$C$132)/$A18</f>
        <v/>
      </c>
      <c r="F18" s="25">
        <f>((('Annual Summary'!$B$12+'Annual Summary'!$B$13+'Monthly Plan'!$Q$16)/Inputs!$C$6)*$A18+'Team &amp; Overheads'!$D$34+('Team &amp; Overheads'!$E$14+'Team &amp; Overheads'!$D$33)/F$17)*(1+Inputs!$C$132)/$A18</f>
        <v/>
      </c>
    </row>
    <row r="19">
      <c r="A19" s="12" t="n">
        <v>3000</v>
      </c>
      <c r="B19" s="25">
        <f>((('Annual Summary'!$B$12+'Annual Summary'!$B$13+'Monthly Plan'!$Q$16)/Inputs!$C$6)*$A19+'Team &amp; Overheads'!$D$34+('Team &amp; Overheads'!$E$14+'Team &amp; Overheads'!$D$33)/B$17)*(1+Inputs!$C$132)/$A19</f>
        <v/>
      </c>
      <c r="C19" s="25">
        <f>((('Annual Summary'!$B$12+'Annual Summary'!$B$13+'Monthly Plan'!$Q$16)/Inputs!$C$6)*$A19+'Team &amp; Overheads'!$D$34+('Team &amp; Overheads'!$E$14+'Team &amp; Overheads'!$D$33)/C$17)*(1+Inputs!$C$132)/$A19</f>
        <v/>
      </c>
      <c r="D19" s="25">
        <f>((('Annual Summary'!$B$12+'Annual Summary'!$B$13+'Monthly Plan'!$Q$16)/Inputs!$C$6)*$A19+'Team &amp; Overheads'!$D$34+('Team &amp; Overheads'!$E$14+'Team &amp; Overheads'!$D$33)/D$17)*(1+Inputs!$C$132)/$A19</f>
        <v/>
      </c>
      <c r="E19" s="25">
        <f>((('Annual Summary'!$B$12+'Annual Summary'!$B$13+'Monthly Plan'!$Q$16)/Inputs!$C$6)*$A19+'Team &amp; Overheads'!$D$34+('Team &amp; Overheads'!$E$14+'Team &amp; Overheads'!$D$33)/E$17)*(1+Inputs!$C$132)/$A19</f>
        <v/>
      </c>
      <c r="F19" s="25">
        <f>((('Annual Summary'!$B$12+'Annual Summary'!$B$13+'Monthly Plan'!$Q$16)/Inputs!$C$6)*$A19+'Team &amp; Overheads'!$D$34+('Team &amp; Overheads'!$E$14+'Team &amp; Overheads'!$D$33)/F$17)*(1+Inputs!$C$132)/$A19</f>
        <v/>
      </c>
    </row>
    <row r="20">
      <c r="A20" s="12" t="n">
        <v>4000</v>
      </c>
      <c r="B20" s="25">
        <f>((('Annual Summary'!$B$12+'Annual Summary'!$B$13+'Monthly Plan'!$Q$16)/Inputs!$C$6)*$A20+'Team &amp; Overheads'!$D$34+('Team &amp; Overheads'!$E$14+'Team &amp; Overheads'!$D$33)/B$17)*(1+Inputs!$C$132)/$A20</f>
        <v/>
      </c>
      <c r="C20" s="25">
        <f>((('Annual Summary'!$B$12+'Annual Summary'!$B$13+'Monthly Plan'!$Q$16)/Inputs!$C$6)*$A20+'Team &amp; Overheads'!$D$34+('Team &amp; Overheads'!$E$14+'Team &amp; Overheads'!$D$33)/C$17)*(1+Inputs!$C$132)/$A20</f>
        <v/>
      </c>
      <c r="D20" s="25">
        <f>((('Annual Summary'!$B$12+'Annual Summary'!$B$13+'Monthly Plan'!$Q$16)/Inputs!$C$6)*$A20+'Team &amp; Overheads'!$D$34+('Team &amp; Overheads'!$E$14+'Team &amp; Overheads'!$D$33)/D$17)*(1+Inputs!$C$132)/$A20</f>
        <v/>
      </c>
      <c r="E20" s="25">
        <f>((('Annual Summary'!$B$12+'Annual Summary'!$B$13+'Monthly Plan'!$Q$16)/Inputs!$C$6)*$A20+'Team &amp; Overheads'!$D$34+('Team &amp; Overheads'!$E$14+'Team &amp; Overheads'!$D$33)/E$17)*(1+Inputs!$C$132)/$A20</f>
        <v/>
      </c>
      <c r="F20" s="25">
        <f>((('Annual Summary'!$B$12+'Annual Summary'!$B$13+'Monthly Plan'!$Q$16)/Inputs!$C$6)*$A20+'Team &amp; Overheads'!$D$34+('Team &amp; Overheads'!$E$14+'Team &amp; Overheads'!$D$33)/F$17)*(1+Inputs!$C$132)/$A20</f>
        <v/>
      </c>
    </row>
    <row r="21">
      <c r="A21" s="12" t="n">
        <v>5000</v>
      </c>
      <c r="B21" s="25">
        <f>((('Annual Summary'!$B$12+'Annual Summary'!$B$13+'Monthly Plan'!$Q$16)/Inputs!$C$6)*$A21+'Team &amp; Overheads'!$D$34+('Team &amp; Overheads'!$E$14+'Team &amp; Overheads'!$D$33)/B$17)*(1+Inputs!$C$132)/$A21</f>
        <v/>
      </c>
      <c r="C21" s="25">
        <f>((('Annual Summary'!$B$12+'Annual Summary'!$B$13+'Monthly Plan'!$Q$16)/Inputs!$C$6)*$A21+'Team &amp; Overheads'!$D$34+('Team &amp; Overheads'!$E$14+'Team &amp; Overheads'!$D$33)/C$17)*(1+Inputs!$C$132)/$A21</f>
        <v/>
      </c>
      <c r="D21" s="25">
        <f>((('Annual Summary'!$B$12+'Annual Summary'!$B$13+'Monthly Plan'!$Q$16)/Inputs!$C$6)*$A21+'Team &amp; Overheads'!$D$34+('Team &amp; Overheads'!$E$14+'Team &amp; Overheads'!$D$33)/D$17)*(1+Inputs!$C$132)/$A21</f>
        <v/>
      </c>
      <c r="E21" s="25">
        <f>((('Annual Summary'!$B$12+'Annual Summary'!$B$13+'Monthly Plan'!$Q$16)/Inputs!$C$6)*$A21+'Team &amp; Overheads'!$D$34+('Team &amp; Overheads'!$E$14+'Team &amp; Overheads'!$D$33)/E$17)*(1+Inputs!$C$132)/$A21</f>
        <v/>
      </c>
      <c r="F21" s="25">
        <f>((('Annual Summary'!$B$12+'Annual Summary'!$B$13+'Monthly Plan'!$Q$16)/Inputs!$C$6)*$A21+'Team &amp; Overheads'!$D$34+('Team &amp; Overheads'!$E$14+'Team &amp; Overheads'!$D$33)/F$17)*(1+Inputs!$C$132)/$A21</f>
        <v/>
      </c>
    </row>
    <row r="22">
      <c r="A22" s="12" t="n">
        <v>6000</v>
      </c>
      <c r="B22" s="25">
        <f>((('Annual Summary'!$B$12+'Annual Summary'!$B$13+'Monthly Plan'!$Q$16)/Inputs!$C$6)*$A22+'Team &amp; Overheads'!$D$34+('Team &amp; Overheads'!$E$14+'Team &amp; Overheads'!$D$33)/B$17)*(1+Inputs!$C$132)/$A22</f>
        <v/>
      </c>
      <c r="C22" s="25">
        <f>((('Annual Summary'!$B$12+'Annual Summary'!$B$13+'Monthly Plan'!$Q$16)/Inputs!$C$6)*$A22+'Team &amp; Overheads'!$D$34+('Team &amp; Overheads'!$E$14+'Team &amp; Overheads'!$D$33)/C$17)*(1+Inputs!$C$132)/$A22</f>
        <v/>
      </c>
      <c r="D22" s="25">
        <f>((('Annual Summary'!$B$12+'Annual Summary'!$B$13+'Monthly Plan'!$Q$16)/Inputs!$C$6)*$A22+'Team &amp; Overheads'!$D$34+('Team &amp; Overheads'!$E$14+'Team &amp; Overheads'!$D$33)/D$17)*(1+Inputs!$C$132)/$A22</f>
        <v/>
      </c>
      <c r="E22" s="25">
        <f>((('Annual Summary'!$B$12+'Annual Summary'!$B$13+'Monthly Plan'!$Q$16)/Inputs!$C$6)*$A22+'Team &amp; Overheads'!$D$34+('Team &amp; Overheads'!$E$14+'Team &amp; Overheads'!$D$33)/E$17)*(1+Inputs!$C$132)/$A22</f>
        <v/>
      </c>
      <c r="F22" s="25">
        <f>((('Annual Summary'!$B$12+'Annual Summary'!$B$13+'Monthly Plan'!$Q$16)/Inputs!$C$6)*$A22+'Team &amp; Overheads'!$D$34+('Team &amp; Overheads'!$E$14+'Team &amp; Overheads'!$D$33)/F$17)*(1+Inputs!$C$132)/$A22</f>
        <v/>
      </c>
    </row>
    <row r="23">
      <c r="A23" s="12" t="n">
        <v>8000</v>
      </c>
      <c r="B23" s="25">
        <f>((('Annual Summary'!$B$12+'Annual Summary'!$B$13+'Monthly Plan'!$Q$16)/Inputs!$C$6)*$A23+'Team &amp; Overheads'!$D$34+('Team &amp; Overheads'!$E$14+'Team &amp; Overheads'!$D$33)/B$17)*(1+Inputs!$C$132)/$A23</f>
        <v/>
      </c>
      <c r="C23" s="25">
        <f>((('Annual Summary'!$B$12+'Annual Summary'!$B$13+'Monthly Plan'!$Q$16)/Inputs!$C$6)*$A23+'Team &amp; Overheads'!$D$34+('Team &amp; Overheads'!$E$14+'Team &amp; Overheads'!$D$33)/C$17)*(1+Inputs!$C$132)/$A23</f>
        <v/>
      </c>
      <c r="D23" s="25">
        <f>((('Annual Summary'!$B$12+'Annual Summary'!$B$13+'Monthly Plan'!$Q$16)/Inputs!$C$6)*$A23+'Team &amp; Overheads'!$D$34+('Team &amp; Overheads'!$E$14+'Team &amp; Overheads'!$D$33)/D$17)*(1+Inputs!$C$132)/$A23</f>
        <v/>
      </c>
      <c r="E23" s="25">
        <f>((('Annual Summary'!$B$12+'Annual Summary'!$B$13+'Monthly Plan'!$Q$16)/Inputs!$C$6)*$A23+'Team &amp; Overheads'!$D$34+('Team &amp; Overheads'!$E$14+'Team &amp; Overheads'!$D$33)/E$17)*(1+Inputs!$C$132)/$A23</f>
        <v/>
      </c>
      <c r="F23" s="25">
        <f>((('Annual Summary'!$B$12+'Annual Summary'!$B$13+'Monthly Plan'!$Q$16)/Inputs!$C$6)*$A23+'Team &amp; Overheads'!$D$34+('Team &amp; Overheads'!$E$14+'Team &amp; Overheads'!$D$33)/F$17)*(1+Inputs!$C$132)/$A23</f>
        <v/>
      </c>
    </row>
    <row r="24">
      <c r="A24" s="12" t="n">
        <v>10000</v>
      </c>
      <c r="B24" s="25">
        <f>((('Annual Summary'!$B$12+'Annual Summary'!$B$13+'Monthly Plan'!$Q$16)/Inputs!$C$6)*$A24+'Team &amp; Overheads'!$D$34+('Team &amp; Overheads'!$E$14+'Team &amp; Overheads'!$D$33)/B$17)*(1+Inputs!$C$132)/$A24</f>
        <v/>
      </c>
      <c r="C24" s="25">
        <f>((('Annual Summary'!$B$12+'Annual Summary'!$B$13+'Monthly Plan'!$Q$16)/Inputs!$C$6)*$A24+'Team &amp; Overheads'!$D$34+('Team &amp; Overheads'!$E$14+'Team &amp; Overheads'!$D$33)/C$17)*(1+Inputs!$C$132)/$A24</f>
        <v/>
      </c>
      <c r="D24" s="25">
        <f>((('Annual Summary'!$B$12+'Annual Summary'!$B$13+'Monthly Plan'!$Q$16)/Inputs!$C$6)*$A24+'Team &amp; Overheads'!$D$34+('Team &amp; Overheads'!$E$14+'Team &amp; Overheads'!$D$33)/D$17)*(1+Inputs!$C$132)/$A24</f>
        <v/>
      </c>
      <c r="E24" s="25">
        <f>((('Annual Summary'!$B$12+'Annual Summary'!$B$13+'Monthly Plan'!$Q$16)/Inputs!$C$6)*$A24+'Team &amp; Overheads'!$D$34+('Team &amp; Overheads'!$E$14+'Team &amp; Overheads'!$D$33)/E$17)*(1+Inputs!$C$132)/$A24</f>
        <v/>
      </c>
      <c r="F24" s="25">
        <f>((('Annual Summary'!$B$12+'Annual Summary'!$B$13+'Monthly Plan'!$Q$16)/Inputs!$C$6)*$A24+'Team &amp; Overheads'!$D$34+('Team &amp; Overheads'!$E$14+'Team &amp; Overheads'!$D$33)/F$17)*(1+Inputs!$C$132)/$A24</f>
        <v/>
      </c>
    </row>
    <row r="26">
      <c r="A26" s="2" t="inlineStr">
        <is>
          <t>Cloud + AI scale with students (≈ ₹10 + ₹35 per student); team &amp; shared overheads are divided by the number of colleges.</t>
        </is>
      </c>
    </row>
  </sheetData>
  <conditionalFormatting sqref="B5:F12">
    <cfRule type="cellIs" priority="1" operator="greaterThanOrEqual" dxfId="0">
      <formula>0.3</formula>
    </cfRule>
    <cfRule type="cellIs" priority="2" operator="between" dxfId="1">
      <formula>0.15</formula>
      <formula>0.2999</formula>
    </cfRule>
    <cfRule type="cellIs" priority="3" operator="lessThan" dxfId="2">
      <formula>0.15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What it costs to build a product like Vriddhi (216K lines of TypeScript, 121 pages, ~100 Cloud Functions)</t>
        </is>
      </c>
    </row>
    <row r="2">
      <c r="A2" s="2" t="inlineStr">
        <is>
          <t>Lean = experienced 3–4 person team with AI-assisted development. Traditional = conventional team. Agency = fixed-bid at market hourly rates.</t>
        </is>
      </c>
    </row>
    <row r="3">
      <c r="A3" s="9" t="inlineStr">
        <is>
          <t>Rates</t>
        </is>
      </c>
      <c r="B3" s="10" t="n"/>
    </row>
    <row r="4">
      <c r="A4" s="11" t="inlineStr">
        <is>
          <t>Blended loaded cost per person-month — lean team (₹)</t>
        </is>
      </c>
      <c r="B4" s="24" t="n">
        <v>110000</v>
      </c>
    </row>
    <row r="5">
      <c r="A5" s="11" t="inlineStr">
        <is>
          <t>Blended loaded cost per person-month — traditional team (₹)</t>
        </is>
      </c>
      <c r="B5" s="24" t="n">
        <v>120000</v>
      </c>
    </row>
    <row r="6">
      <c r="A6" s="11" t="inlineStr">
        <is>
          <t>Agency rate per hour (₹; ₹1,500–3,000 typical)</t>
        </is>
      </c>
      <c r="B6" s="24" t="n">
        <v>1500</v>
      </c>
    </row>
    <row r="7">
      <c r="A7" s="11" t="inlineStr">
        <is>
          <t>Hours per person-month</t>
        </is>
      </c>
      <c r="B7" s="12" t="n">
        <v>160</v>
      </c>
    </row>
    <row r="8">
      <c r="A8" s="11" t="inlineStr">
        <is>
          <t>PM / QA / rework overhead</t>
        </is>
      </c>
      <c r="B8" s="16" t="n">
        <v>0.2</v>
      </c>
    </row>
    <row r="10">
      <c r="A10" s="19" t="inlineStr">
        <is>
          <t>Module</t>
        </is>
      </c>
      <c r="B10" s="19" t="inlineStr">
        <is>
          <t>Lean person-weeks</t>
        </is>
      </c>
      <c r="C10" s="19" t="inlineStr">
        <is>
          <t>Traditional person-weeks</t>
        </is>
      </c>
    </row>
    <row r="11">
      <c r="A11" s="11" t="inlineStr">
        <is>
          <t>Auth, RBAC (10 roles), multi-tenant claims, provisioning, 1,800 lines of security rules + tests</t>
        </is>
      </c>
      <c r="B11" s="20" t="n">
        <v>6</v>
      </c>
      <c r="C11" s="20" t="n">
        <v>14</v>
      </c>
    </row>
    <row r="12">
      <c r="A12" s="11" t="inlineStr">
        <is>
          <t>Student portal — dashboard, attendance, timetable, tests, results, fees, materials, assignments, PWA</t>
        </is>
      </c>
      <c r="B12" s="20" t="n">
        <v>10</v>
      </c>
      <c r="C12" s="20" t="n">
        <v>24</v>
      </c>
    </row>
    <row r="13">
      <c r="A13" s="11" t="inlineStr">
        <is>
          <t>Faculty portal — attendance, schedule, question bank, paper authoring/review, assignments, grading, mentoring</t>
        </is>
      </c>
      <c r="B13" s="20" t="n">
        <v>10</v>
      </c>
      <c r="C13" s="20" t="n">
        <v>24</v>
      </c>
    </row>
    <row r="14">
      <c r="A14" s="11" t="inlineStr">
        <is>
          <t>College admin &amp; office — analytics, curriculum + auto-mapping, timetable + auto-generator, scheme packs, fees + challans + Razorpay, admissions, accounts desk, operations desk, library, inventory, procurement</t>
        </is>
      </c>
      <c r="B14" s="20" t="n">
        <v>20</v>
      </c>
      <c r="C14" s="20" t="n">
        <v>48</v>
      </c>
    </row>
    <row r="15">
      <c r="A15" s="11" t="inlineStr">
        <is>
          <t>Superadmin — colleges, universities, imports, billing, health, question-bank seeding, access control</t>
        </is>
      </c>
      <c r="B15" s="20" t="n">
        <v>6</v>
      </c>
      <c r="C15" s="20" t="n">
        <v>14</v>
      </c>
    </row>
    <row r="16">
      <c r="A16" s="11" t="inlineStr">
        <is>
          <t>Assessment engine — scheduling, secure test flow, autosave, proctor events, grading, result import, grade records</t>
        </is>
      </c>
      <c r="B16" s="20" t="n">
        <v>10</v>
      </c>
      <c r="C16" s="20" t="n">
        <v>24</v>
      </c>
    </row>
    <row r="17">
      <c r="A17" s="11" t="inlineStr">
        <is>
          <t>AI layer — multi-provider, question generation, paper parsing, AI grading, study packs with cost guards, chat, prep, 6 languages</t>
        </is>
      </c>
      <c r="B17" s="20" t="n">
        <v>8</v>
      </c>
      <c r="C17" s="20" t="n">
        <v>18</v>
      </c>
    </row>
    <row r="18">
      <c r="A18" s="11" t="inlineStr">
        <is>
          <t>PDF &amp; document pipeline — Puppeteer renderer with fallback, DOCX/PDF parsing, CSV/XLSX import/export</t>
        </is>
      </c>
      <c r="B18" s="20" t="n">
        <v>4</v>
      </c>
      <c r="C18" s="20" t="n">
        <v>9</v>
      </c>
    </row>
    <row r="19">
      <c r="A19" s="11" t="inlineStr">
        <is>
          <t>Domain content — curated question banks, syllabus JSON, BCU/KUD/NEP scheme presets</t>
        </is>
      </c>
      <c r="B19" s="20" t="n">
        <v>5</v>
      </c>
      <c r="C19" s="20" t="n">
        <v>8</v>
      </c>
    </row>
    <row r="20">
      <c r="A20" s="11" t="inlineStr">
        <is>
          <t>Quality — tests, rules tests, CI, audits, docs</t>
        </is>
      </c>
      <c r="B20" s="20" t="n">
        <v>6</v>
      </c>
      <c r="C20" s="20" t="n">
        <v>14</v>
      </c>
    </row>
    <row r="21">
      <c r="A21" s="11" t="inlineStr">
        <is>
          <t>Brand, design system, UI/UX, i18n</t>
        </is>
      </c>
      <c r="B21" s="20" t="n">
        <v>3</v>
      </c>
      <c r="C21" s="20" t="n">
        <v>7</v>
      </c>
    </row>
    <row r="22">
      <c r="A22" s="3" t="inlineStr">
        <is>
          <t>Subtotal person-weeks</t>
        </is>
      </c>
      <c r="B22" s="22">
        <f>SUM(B11:B21)</f>
        <v/>
      </c>
      <c r="C22" s="22">
        <f>SUM(C11:C21)</f>
        <v/>
      </c>
    </row>
    <row r="23">
      <c r="A23" t="inlineStr">
        <is>
          <t>With PM / QA / rework overhead — person-weeks</t>
        </is>
      </c>
      <c r="B23" s="36">
        <f>B22*(1+$B$8)</f>
        <v/>
      </c>
      <c r="C23" s="36">
        <f>C22*(1+$B$8)</f>
        <v/>
      </c>
    </row>
    <row r="24">
      <c r="A24" t="inlineStr">
        <is>
          <t>Person-months (÷ 4.33)</t>
        </is>
      </c>
      <c r="B24" s="36">
        <f>B23/4.33</f>
        <v/>
      </c>
      <c r="C24" s="36">
        <f>C23/4.33</f>
        <v/>
      </c>
    </row>
    <row r="26">
      <c r="A26" s="9" t="inlineStr">
        <is>
          <t>Other build costs (₹)</t>
        </is>
      </c>
      <c r="B26" s="10" t="n"/>
    </row>
    <row r="27">
      <c r="A27" s="11" t="inlineStr">
        <is>
          <t>AI development tools</t>
        </is>
      </c>
      <c r="B27" s="24" t="n">
        <v>300000</v>
      </c>
    </row>
    <row r="28">
      <c r="A28" s="11" t="inlineStr">
        <is>
          <t>Design / brand</t>
        </is>
      </c>
      <c r="B28" s="24" t="n">
        <v>200000</v>
      </c>
    </row>
    <row r="29">
      <c r="A29" s="11" t="inlineStr">
        <is>
          <t>Subject-matter experts (content)</t>
        </is>
      </c>
      <c r="B29" s="24" t="n">
        <v>200000</v>
      </c>
    </row>
    <row r="30">
      <c r="A30" s="11" t="inlineStr">
        <is>
          <t>Dev infrastructure during build</t>
        </is>
      </c>
      <c r="B30" s="24" t="n">
        <v>50000</v>
      </c>
    </row>
    <row r="31">
      <c r="A31" s="3" t="inlineStr">
        <is>
          <t>Other build costs total</t>
        </is>
      </c>
      <c r="B31" s="31">
        <f>SUM(B27:B30)</f>
        <v/>
      </c>
    </row>
    <row r="33">
      <c r="A33" s="19" t="inlineStr">
        <is>
          <t>Delivery model</t>
        </is>
      </c>
      <c r="B33" s="19" t="inlineStr">
        <is>
          <t>People cost ₹</t>
        </is>
      </c>
      <c r="C33" s="19" t="inlineStr">
        <is>
          <t>Total ₹</t>
        </is>
      </c>
      <c r="D33" s="19" t="inlineStr">
        <is>
          <t>₹ crore</t>
        </is>
      </c>
    </row>
    <row r="34">
      <c r="A34" s="11" t="inlineStr">
        <is>
          <t>A. Lean in-house, AI-assisted</t>
        </is>
      </c>
      <c r="B34" s="25">
        <f>B24*$B$4</f>
        <v/>
      </c>
      <c r="C34" s="26">
        <f>B34+$B$31</f>
        <v/>
      </c>
      <c r="D34" s="46">
        <f>C34/10000000</f>
        <v/>
      </c>
    </row>
    <row r="35">
      <c r="A35" s="11" t="inlineStr">
        <is>
          <t>B. Traditional in-house team</t>
        </is>
      </c>
      <c r="B35" s="25">
        <f>C24*$B$5</f>
        <v/>
      </c>
      <c r="C35" s="26">
        <f>B35+$B$31</f>
        <v/>
      </c>
      <c r="D35" s="46">
        <f>C35/10000000</f>
        <v/>
      </c>
    </row>
    <row r="36">
      <c r="A36" s="11" t="inlineStr">
        <is>
          <t>C. Indian software agency (fixed bid at hourly rate)</t>
        </is>
      </c>
      <c r="B36" s="25">
        <f>C24*$B$7*$B$6</f>
        <v/>
      </c>
      <c r="C36" s="26">
        <f>B36+$B$31</f>
        <v/>
      </c>
      <c r="D36" s="46">
        <f>C36/10000000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2026-09-25T11:38:37Z</dcterms:created>
  <dcterms:modified xsi:type="dcterms:W3CDTF">2026-09-25T11:38:37Z</dcterms:modified>
</cp:coreProperties>
</file>